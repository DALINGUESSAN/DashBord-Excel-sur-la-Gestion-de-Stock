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50\Desktop\Chaine youtube\Excel Apps\Gestion de stock\Video 3\"/>
    </mc:Choice>
  </mc:AlternateContent>
  <xr:revisionPtr revIDLastSave="0" documentId="13_ncr:1_{CFE23178-96E8-45D2-9F30-6AA33C81F457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Opérations" sheetId="8" r:id="rId1"/>
    <sheet name="Marchandises" sheetId="9" r:id="rId2"/>
    <sheet name="Entrées" sheetId="10" r:id="rId3"/>
    <sheet name="Sorties" sheetId="11" r:id="rId4"/>
    <sheet name="Inventaire " sheetId="12" r:id="rId5"/>
  </sheets>
  <definedNames>
    <definedName name="_xlcn.WorksheetConnection_Gestiondestock.xlsmlesCategories1" hidden="1">lesCategories</definedName>
    <definedName name="_xlcn.WorksheetConnection_Gestiondestock.xlsmlesMois1" hidden="1">lesMois</definedName>
    <definedName name="_xlcn.WorksheetConnection_Gestiondestock.xlsmlesReferences1" hidden="1">lesReferences</definedName>
    <definedName name="_xlcn.WorksheetConnection_Gestiondestock.xlsmlisteAchats1" hidden="1">listeAchats[]</definedName>
    <definedName name="_xlcn.WorksheetConnection_Gestiondestock.xlsmlisteVentes1" hidden="1">listeVentes[]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steVentes" name="listeVentes" connection="WorksheetConnection_Gestion de stock.xlsm!listeVentes"/>
          <x15:modelTable id="listeAchats" name="listeAchats" connection="WorksheetConnection_Gestion de stock.xlsm!listeAchats"/>
          <x15:modelTable id="lesReferences" name="lesReferences" connection="WorksheetConnection_Gestion de stock.xlsm!lesReferences"/>
          <x15:modelTable id="lesMois" name="lesMois" connection="WorksheetConnection_Gestion de stock.xlsm!lesMois"/>
          <x15:modelTable id="lesCategories" name="lesCategories" connection="WorksheetConnection_Gestion de stock.xlsm!lesCategories"/>
        </x15:modelTables>
        <x15:modelRelationships>
          <x15:modelRelationship fromTable="listeAchats" fromColumn="Catégorie" toTable="lesCategories" toColumn="Catégories"/>
          <x15:modelRelationship fromTable="listeAchats" fromColumn="Référence" toTable="lesReferences" toColumn="Références"/>
          <x15:modelRelationship fromTable="listeAchats" fromColumn="Date (mois)" toTable="lesMois" toColumn="Mois"/>
          <x15:modelRelationship fromTable="listeVentes" fromColumn="Catégorie" toTable="lesCategories" toColumn="Catégories"/>
          <x15:modelRelationship fromTable="listeVentes" fromColumn="Référence" toTable="lesReferences" toColumn="Références"/>
          <x15:modelRelationship fromTable="listeVentes" fromColumn="Date (mois)" toTable="lesMois" toColumn="Moi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Achat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Ven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7" i="11" l="1"/>
  <c r="C7" i="11"/>
  <c r="K7" i="10"/>
  <c r="C7" i="10"/>
  <c r="K8" i="11"/>
  <c r="K8" i="10"/>
  <c r="K9" i="11" l="1"/>
  <c r="D6" i="12"/>
  <c r="E6" i="12"/>
  <c r="F6" i="12"/>
  <c r="G6" i="12"/>
  <c r="H6" i="12"/>
  <c r="I6" i="12"/>
  <c r="J6" i="12"/>
  <c r="D7" i="12"/>
  <c r="E7" i="12"/>
  <c r="F7" i="12"/>
  <c r="G7" i="12"/>
  <c r="H7" i="12"/>
  <c r="I7" i="12"/>
  <c r="J7" i="12"/>
  <c r="K6" i="12" l="1"/>
  <c r="K7" i="12"/>
  <c r="N7" i="12" s="1"/>
  <c r="E15" i="12"/>
  <c r="K10" i="11"/>
  <c r="N6" i="12" l="1"/>
  <c r="K11" i="11"/>
  <c r="K12" i="11"/>
  <c r="K13" i="11"/>
  <c r="K14" i="11"/>
  <c r="K15" i="11"/>
  <c r="K9" i="10"/>
  <c r="K10" i="10"/>
  <c r="K11" i="10"/>
  <c r="K12" i="10"/>
  <c r="K13" i="10"/>
  <c r="K16" i="11"/>
  <c r="K17" i="11"/>
  <c r="K18" i="11"/>
  <c r="K19" i="11"/>
  <c r="K20" i="11"/>
  <c r="K14" i="10"/>
  <c r="K15" i="10"/>
  <c r="K16" i="10"/>
  <c r="K17" i="10"/>
  <c r="K18" i="10"/>
  <c r="K21" i="11"/>
  <c r="K22" i="11"/>
  <c r="K23" i="11"/>
  <c r="K24" i="11"/>
  <c r="K25" i="11"/>
  <c r="K19" i="10"/>
  <c r="K20" i="10"/>
  <c r="K21" i="10"/>
  <c r="K22" i="10"/>
  <c r="K23" i="10"/>
  <c r="K26" i="11"/>
  <c r="K27" i="11"/>
  <c r="K28" i="11"/>
  <c r="K29" i="11"/>
  <c r="K30" i="11"/>
  <c r="K24" i="10"/>
  <c r="K25" i="10"/>
  <c r="K26" i="10"/>
  <c r="K27" i="10"/>
  <c r="K28" i="10"/>
  <c r="K31" i="11"/>
  <c r="K32" i="11"/>
  <c r="K33" i="11"/>
  <c r="K34" i="11"/>
  <c r="K35" i="11"/>
  <c r="K29" i="10"/>
  <c r="K30" i="10"/>
  <c r="K31" i="10"/>
  <c r="K32" i="10"/>
  <c r="K33" i="10"/>
  <c r="K36" i="11"/>
  <c r="K37" i="11"/>
  <c r="K38" i="11"/>
  <c r="K39" i="11"/>
  <c r="K40" i="11"/>
  <c r="K34" i="10"/>
  <c r="K35" i="10"/>
  <c r="K36" i="10"/>
  <c r="K37" i="10"/>
  <c r="K38" i="10"/>
  <c r="K41" i="11"/>
  <c r="K42" i="11"/>
  <c r="K43" i="11"/>
  <c r="K44" i="11"/>
  <c r="K39" i="10"/>
  <c r="K40" i="10"/>
  <c r="K41" i="10"/>
  <c r="K42" i="10"/>
  <c r="K43" i="10"/>
  <c r="K45" i="11"/>
  <c r="K46" i="11"/>
  <c r="K47" i="11"/>
  <c r="K48" i="11"/>
  <c r="K49" i="11"/>
  <c r="K50" i="11"/>
  <c r="K44" i="10"/>
  <c r="K45" i="10"/>
  <c r="K46" i="10"/>
  <c r="K47" i="10"/>
  <c r="K48" i="10"/>
  <c r="K51" i="11"/>
  <c r="K52" i="11"/>
  <c r="K53" i="11"/>
  <c r="K54" i="11"/>
  <c r="K55" i="11"/>
  <c r="K56" i="11"/>
  <c r="K57" i="11"/>
  <c r="K58" i="11"/>
  <c r="K59" i="11"/>
  <c r="K60" i="11"/>
  <c r="K61" i="11"/>
  <c r="K62" i="11"/>
  <c r="C62" i="11"/>
  <c r="C61" i="11" s="1"/>
  <c r="C60" i="11" s="1"/>
  <c r="C59" i="11" s="1"/>
  <c r="C58" i="11" s="1"/>
  <c r="C57" i="11" s="1"/>
  <c r="C56" i="11" s="1"/>
  <c r="C55" i="11" s="1"/>
  <c r="C54" i="11" s="1"/>
  <c r="C53" i="11" s="1"/>
  <c r="C52" i="11" s="1"/>
  <c r="C51" i="11" s="1"/>
  <c r="C50" i="11" s="1"/>
  <c r="C49" i="11" s="1"/>
  <c r="C48" i="11" s="1"/>
  <c r="C47" i="11" s="1"/>
  <c r="C46" i="11" s="1"/>
  <c r="C45" i="11" s="1"/>
  <c r="C44" i="11" s="1"/>
  <c r="C43" i="11" s="1"/>
  <c r="C42" i="11" s="1"/>
  <c r="C41" i="11" s="1"/>
  <c r="C40" i="11" s="1"/>
  <c r="C39" i="11" s="1"/>
  <c r="C38" i="11" s="1"/>
  <c r="C37" i="11" s="1"/>
  <c r="C36" i="11" s="1"/>
  <c r="C35" i="11" s="1"/>
  <c r="C34" i="11" s="1"/>
  <c r="C33" i="11" s="1"/>
  <c r="C32" i="11" s="1"/>
  <c r="C31" i="11" s="1"/>
  <c r="C30" i="11" s="1"/>
  <c r="C29" i="11" s="1"/>
  <c r="C28" i="11" s="1"/>
  <c r="C27" i="11" s="1"/>
  <c r="C26" i="11" s="1"/>
  <c r="C25" i="11" s="1"/>
  <c r="C24" i="11" s="1"/>
  <c r="C23" i="11" s="1"/>
  <c r="C22" i="11" s="1"/>
  <c r="C21" i="11" s="1"/>
  <c r="C20" i="11" s="1"/>
  <c r="C19" i="11" s="1"/>
  <c r="C18" i="11" s="1"/>
  <c r="C17" i="11" s="1"/>
  <c r="C16" i="11" s="1"/>
  <c r="C15" i="11" s="1"/>
  <c r="C14" i="11" s="1"/>
  <c r="C13" i="11" s="1"/>
  <c r="C12" i="11" s="1"/>
  <c r="C11" i="11" s="1"/>
  <c r="C10" i="11" s="1"/>
  <c r="C9" i="11" s="1"/>
  <c r="C8" i="11" s="1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C61" i="10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J13" i="12"/>
  <c r="J14" i="12"/>
  <c r="J15" i="12"/>
  <c r="J16" i="12"/>
  <c r="I13" i="12"/>
  <c r="I14" i="12"/>
  <c r="I15" i="12"/>
  <c r="I16" i="12"/>
  <c r="H15" i="12"/>
  <c r="G15" i="12"/>
  <c r="F15" i="12"/>
  <c r="D15" i="12"/>
  <c r="J15" i="9"/>
  <c r="J16" i="9"/>
  <c r="J17" i="9"/>
  <c r="J18" i="9"/>
  <c r="J19" i="9"/>
  <c r="J20" i="9"/>
  <c r="J21" i="9"/>
  <c r="E8" i="12"/>
  <c r="H13" i="12"/>
  <c r="H14" i="12"/>
  <c r="H16" i="12"/>
  <c r="G13" i="12"/>
  <c r="G14" i="12"/>
  <c r="G16" i="12"/>
  <c r="F13" i="12"/>
  <c r="F14" i="12"/>
  <c r="F16" i="12"/>
  <c r="E13" i="12"/>
  <c r="E14" i="12"/>
  <c r="E16" i="12"/>
  <c r="D13" i="12"/>
  <c r="D14" i="12"/>
  <c r="D16" i="12"/>
  <c r="J8" i="12"/>
  <c r="J9" i="12"/>
  <c r="J10" i="12"/>
  <c r="J11" i="12"/>
  <c r="J12" i="12"/>
  <c r="I8" i="12"/>
  <c r="I9" i="12"/>
  <c r="I10" i="12"/>
  <c r="I11" i="12"/>
  <c r="I12" i="12"/>
  <c r="L7" i="12" l="1"/>
  <c r="M7" i="12" s="1"/>
  <c r="L6" i="12"/>
  <c r="M6" i="12" s="1"/>
  <c r="L14" i="12"/>
  <c r="L13" i="12"/>
  <c r="L12" i="12"/>
  <c r="L11" i="12"/>
  <c r="L16" i="12"/>
  <c r="L15" i="12"/>
  <c r="K15" i="12"/>
  <c r="K14" i="12"/>
  <c r="N14" i="12" s="1"/>
  <c r="K13" i="12"/>
  <c r="K16" i="12"/>
  <c r="H8" i="12"/>
  <c r="K8" i="12" s="1"/>
  <c r="H9" i="12"/>
  <c r="K9" i="12" s="1"/>
  <c r="H10" i="12"/>
  <c r="K10" i="12" s="1"/>
  <c r="H11" i="12"/>
  <c r="K11" i="12" s="1"/>
  <c r="H12" i="12"/>
  <c r="K12" i="12" s="1"/>
  <c r="G8" i="12"/>
  <c r="G9" i="12"/>
  <c r="G10" i="12"/>
  <c r="G11" i="12"/>
  <c r="G12" i="12"/>
  <c r="F8" i="12"/>
  <c r="F9" i="12"/>
  <c r="F10" i="12"/>
  <c r="F11" i="12"/>
  <c r="F12" i="12"/>
  <c r="E9" i="12"/>
  <c r="E10" i="12"/>
  <c r="E11" i="12"/>
  <c r="E12" i="12"/>
  <c r="D8" i="12"/>
  <c r="D9" i="12"/>
  <c r="D10" i="12"/>
  <c r="D11" i="12"/>
  <c r="D12" i="12"/>
  <c r="J22" i="9"/>
  <c r="J23" i="9"/>
  <c r="J24" i="9"/>
  <c r="J25" i="9"/>
  <c r="F9" i="9"/>
  <c r="K63" i="11"/>
  <c r="G10" i="8"/>
  <c r="L8" i="12"/>
  <c r="I16" i="8"/>
  <c r="G16" i="8"/>
  <c r="G13" i="8"/>
  <c r="M13" i="12" l="1"/>
  <c r="M12" i="12"/>
  <c r="M11" i="12"/>
  <c r="M16" i="12"/>
  <c r="M15" i="12"/>
  <c r="N13" i="12"/>
  <c r="N16" i="12"/>
  <c r="N15" i="12"/>
  <c r="M14" i="12"/>
  <c r="M8" i="12"/>
  <c r="N12" i="12"/>
  <c r="N11" i="12"/>
  <c r="N10" i="12"/>
  <c r="N9" i="12"/>
  <c r="N8" i="12"/>
  <c r="K66" i="11"/>
  <c r="K65" i="11"/>
  <c r="K64" i="11"/>
  <c r="K62" i="10"/>
  <c r="L9" i="12" s="1"/>
  <c r="M9" i="12" s="1"/>
  <c r="K63" i="10"/>
  <c r="L10" i="12" s="1"/>
  <c r="M10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AD0825-5C39-4764-BE7B-476B5260CFA5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DA2BBE7-5FFF-42D0-96E9-6425BF6E9C6A}" name="WorksheetConnection_Gestion de stock.xlsm!lesCategories" type="102" refreshedVersion="6" minRefreshableVersion="5">
    <extLst>
      <ext xmlns:x15="http://schemas.microsoft.com/office/spreadsheetml/2010/11/main" uri="{DE250136-89BD-433C-8126-D09CA5730AF9}">
        <x15:connection id="lesCategories">
          <x15:rangePr sourceName="_xlcn.WorksheetConnection_Gestiondestock.xlsmlesCategories1"/>
        </x15:connection>
      </ext>
    </extLst>
  </connection>
  <connection id="3" xr16:uid="{9F90B5BD-2738-4FE8-A63F-417D428A9782}" name="WorksheetConnection_Gestion de stock.xlsm!lesMois" type="102" refreshedVersion="6" minRefreshableVersion="5">
    <extLst>
      <ext xmlns:x15="http://schemas.microsoft.com/office/spreadsheetml/2010/11/main" uri="{DE250136-89BD-433C-8126-D09CA5730AF9}">
        <x15:connection id="lesMois">
          <x15:rangePr sourceName="_xlcn.WorksheetConnection_Gestiondestock.xlsmlesMois1"/>
        </x15:connection>
      </ext>
    </extLst>
  </connection>
  <connection id="4" xr16:uid="{03528C0E-25B5-4CEF-AB08-B74E3CF84EB3}" name="WorksheetConnection_Gestion de stock.xlsm!lesReferences" type="102" refreshedVersion="6" minRefreshableVersion="5">
    <extLst>
      <ext xmlns:x15="http://schemas.microsoft.com/office/spreadsheetml/2010/11/main" uri="{DE250136-89BD-433C-8126-D09CA5730AF9}">
        <x15:connection id="lesReferences">
          <x15:rangePr sourceName="_xlcn.WorksheetConnection_Gestiondestock.xlsmlesReferences1"/>
        </x15:connection>
      </ext>
    </extLst>
  </connection>
  <connection id="5" xr16:uid="{D4278434-B34D-4E4F-B26B-AEC93FAAAA41}" name="WorksheetConnection_Gestion de stock.xlsm!listeAchats" type="102" refreshedVersion="6" minRefreshableVersion="5">
    <extLst>
      <ext xmlns:x15="http://schemas.microsoft.com/office/spreadsheetml/2010/11/main" uri="{DE250136-89BD-433C-8126-D09CA5730AF9}">
        <x15:connection id="listeAchats">
          <x15:rangePr sourceName="_xlcn.WorksheetConnection_Gestiondestock.xlsmlisteAchats1"/>
        </x15:connection>
      </ext>
    </extLst>
  </connection>
  <connection id="6" xr16:uid="{8A4DF0C2-07BF-439C-9DCF-BCAACFA7D594}" name="WorksheetConnection_Gestion de stock.xlsm!listeVentes" type="102" refreshedVersion="6" minRefreshableVersion="5">
    <extLst>
      <ext xmlns:x15="http://schemas.microsoft.com/office/spreadsheetml/2010/11/main" uri="{DE250136-89BD-433C-8126-D09CA5730AF9}">
        <x15:connection id="listeVentes">
          <x15:rangePr sourceName="_xlcn.WorksheetConnection_Gestiondestock.xlsmlisteVentes1"/>
        </x15:connection>
      </ext>
    </extLst>
  </connection>
</connections>
</file>

<file path=xl/sharedStrings.xml><?xml version="1.0" encoding="utf-8"?>
<sst xmlns="http://schemas.openxmlformats.org/spreadsheetml/2006/main" count="587" uniqueCount="67">
  <si>
    <t>Désignation</t>
  </si>
  <si>
    <t>Quantité</t>
  </si>
  <si>
    <t>Date</t>
  </si>
  <si>
    <t>Seuil d'alerte</t>
  </si>
  <si>
    <t>Valeur</t>
  </si>
  <si>
    <t>Prix de vente</t>
  </si>
  <si>
    <t>Total</t>
  </si>
  <si>
    <t>Numéro</t>
  </si>
  <si>
    <t>Unité</t>
  </si>
  <si>
    <t>Prix unitaire</t>
  </si>
  <si>
    <t>Stock initial</t>
  </si>
  <si>
    <t>Stock final</t>
  </si>
  <si>
    <t>Entrées</t>
  </si>
  <si>
    <t>Sorties</t>
  </si>
  <si>
    <t>Référence</t>
  </si>
  <si>
    <t>Catégorie</t>
  </si>
  <si>
    <t>Statue</t>
  </si>
  <si>
    <r>
      <t xml:space="preserve">Nouvelle </t>
    </r>
    <r>
      <rPr>
        <b/>
        <sz val="14"/>
        <color rgb="FF51459E"/>
        <rFont val="Gilroy-Bold"/>
      </rPr>
      <t>opération</t>
    </r>
  </si>
  <si>
    <t>Oreo</t>
  </si>
  <si>
    <t xml:space="preserve">Biscuits </t>
  </si>
  <si>
    <t xml:space="preserve">1 unité </t>
  </si>
  <si>
    <t>Pack de 10 unités</t>
  </si>
  <si>
    <t>Pack de 20 unités</t>
  </si>
  <si>
    <t xml:space="preserve"> Total</t>
  </si>
  <si>
    <t xml:space="preserve">Unité </t>
  </si>
  <si>
    <t xml:space="preserve"> Seuil d'alerte</t>
  </si>
  <si>
    <t xml:space="preserve"> Stock initial</t>
  </si>
  <si>
    <t xml:space="preserve"> Prix unitaire</t>
  </si>
  <si>
    <t>Veuillez saisir les détaille de l'opération de vente ou d'achat</t>
  </si>
  <si>
    <t xml:space="preserve">Catégorie </t>
  </si>
  <si>
    <t xml:space="preserve">Désignation </t>
  </si>
  <si>
    <t xml:space="preserve">Référence  </t>
  </si>
  <si>
    <t>1 unité</t>
  </si>
  <si>
    <t xml:space="preserve">Quantité </t>
  </si>
  <si>
    <r>
      <rPr>
        <b/>
        <sz val="13"/>
        <color theme="1" tint="4.9989318521683403E-2"/>
        <rFont val="Gilroy-Bold"/>
      </rPr>
      <t>Détails d'</t>
    </r>
    <r>
      <rPr>
        <b/>
        <sz val="13"/>
        <color rgb="FF51459E"/>
        <rFont val="Gilroy-Bold"/>
      </rPr>
      <t>inventaire</t>
    </r>
  </si>
  <si>
    <t>C1</t>
  </si>
  <si>
    <t>C2</t>
  </si>
  <si>
    <t>CUMP</t>
  </si>
  <si>
    <t>E1</t>
  </si>
  <si>
    <t>E2</t>
  </si>
  <si>
    <t>E3</t>
  </si>
  <si>
    <t>E4</t>
  </si>
  <si>
    <r>
      <t xml:space="preserve">Nouvelle </t>
    </r>
    <r>
      <rPr>
        <b/>
        <sz val="14"/>
        <color rgb="FF51459E"/>
        <rFont val="Gilroy-Bold"/>
      </rPr>
      <t>marchandise</t>
    </r>
    <r>
      <rPr>
        <b/>
        <sz val="14"/>
        <color theme="1"/>
        <rFont val="Gilroy-Bold"/>
      </rPr>
      <t xml:space="preserve"> </t>
    </r>
  </si>
  <si>
    <r>
      <t xml:space="preserve">Liste des </t>
    </r>
    <r>
      <rPr>
        <b/>
        <sz val="14"/>
        <color rgb="FF51459E"/>
        <rFont val="Gilroy-Bold"/>
      </rPr>
      <t>marchandises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</si>
  <si>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entrées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</si>
  <si>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sorties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</si>
  <si>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t>Détails de toutes les transactions de sortie</t>
  </si>
  <si>
    <t>Détails de toutes les transactions d'entrée</t>
  </si>
  <si>
    <t>Veuillez saisir les informations de chaque marchandise</t>
  </si>
  <si>
    <t xml:space="preserve">PLAYSTATION PS5 </t>
  </si>
  <si>
    <t>NINTENDO SWITCH</t>
  </si>
  <si>
    <t>GOOGLE PIXEL 5</t>
  </si>
  <si>
    <t>S1</t>
  </si>
  <si>
    <t>S2</t>
  </si>
  <si>
    <t>B1</t>
  </si>
  <si>
    <t>B2</t>
  </si>
  <si>
    <t>B3</t>
  </si>
  <si>
    <t>Coût d'achat</t>
  </si>
  <si>
    <t>SmartPhone</t>
  </si>
  <si>
    <t>Consoles</t>
  </si>
  <si>
    <t>Electro</t>
  </si>
  <si>
    <t>Cuisinière CANDY</t>
  </si>
  <si>
    <t>Cuisinière SIERA</t>
  </si>
  <si>
    <t>Réfrigérateur SIERA</t>
  </si>
  <si>
    <t>Réfrigérateur WHIRLPOOL</t>
  </si>
  <si>
    <t xml:space="preserve">Réfrigérateur WHIRLPOOL </t>
  </si>
  <si>
    <t>IPHONE 13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</si>
</sst>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\ [$€-40C]_-;\-* #,##0.00\ [$€-40C]_-;_-* &quot;-&quot;??\ [$€-40C]_-;_-@_-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51459E"/>
      <name val="Calibri"/>
      <family val="2"/>
      <scheme val="minor"/>
    </font>
    <font>
      <sz val="11"/>
      <color rgb="FFFAFAFA"/>
      <name val="Calibri"/>
      <family val="2"/>
      <scheme val="minor"/>
    </font>
    <font>
      <b/>
      <sz val="11"/>
      <color theme="1"/>
      <name val="Open Sans"/>
      <family val="2"/>
    </font>
    <font>
      <b/>
      <sz val="14"/>
      <color theme="1"/>
      <name val="Gilroy-Bold"/>
    </font>
    <font>
      <b/>
      <sz val="14"/>
      <color rgb="FF51459E"/>
      <name val="Gilroy-Bold"/>
    </font>
    <font>
      <b/>
      <sz val="10"/>
      <color theme="1"/>
      <name val="Gilroy-SemiBold"/>
    </font>
    <font>
      <sz val="10"/>
      <color theme="1" tint="4.9989318521683403E-2"/>
      <name val="Gilroy-SemiBold"/>
    </font>
    <font>
      <sz val="8"/>
      <color theme="1"/>
      <name val="Gilroy-Medium"/>
    </font>
    <font>
      <b/>
      <sz val="10"/>
      <color theme="1" tint="4.9989318521683403E-2"/>
      <name val="Gilroy-SemiBold"/>
    </font>
    <font>
      <sz val="10"/>
      <color rgb="FF51459E"/>
      <name val="Gilroy-SemiBold"/>
    </font>
    <font>
      <sz val="11"/>
      <color rgb="FF51459E"/>
      <name val="Product Sans"/>
      <family val="2"/>
    </font>
    <font>
      <sz val="8"/>
      <name val="Calibri"/>
      <family val="2"/>
      <scheme val="minor"/>
    </font>
    <font>
      <b/>
      <sz val="12"/>
      <color theme="1"/>
      <name val="Gilroy-Bold"/>
    </font>
    <font>
      <b/>
      <sz val="13"/>
      <color theme="1"/>
      <name val="Gilroy-Bold"/>
    </font>
    <font>
      <b/>
      <sz val="13"/>
      <color rgb="FF51459E"/>
      <name val="Gilroy-Bold"/>
    </font>
    <font>
      <b/>
      <sz val="13"/>
      <color theme="1" tint="4.9989318521683403E-2"/>
      <name val="Gilroy-Bold"/>
    </font>
    <font>
      <sz val="9"/>
      <color theme="1" tint="4.9989318521683403E-2"/>
      <name val="Gilroy-Medium"/>
    </font>
    <font>
      <sz val="9"/>
      <color theme="1"/>
      <name val="Gilroy-SemiBold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1459E"/>
        <bgColor indexed="64"/>
      </patternFill>
    </fill>
  </fills>
  <borders count="7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3" fillId="4" borderId="0" xfId="0" applyFont="1" applyFill="1"/>
    <xf numFmtId="0" fontId="0" fillId="4" borderId="0" xfId="0" applyFill="1"/>
    <xf numFmtId="0" fontId="4" fillId="2" borderId="0" xfId="0" applyFont="1" applyFill="1"/>
    <xf numFmtId="0" fontId="3" fillId="3" borderId="0" xfId="0" applyFont="1" applyFill="1"/>
    <xf numFmtId="0" fontId="5" fillId="3" borderId="0" xfId="0" applyFont="1" applyFill="1" applyAlignment="1">
      <alignment horizontal="left" vertical="center"/>
    </xf>
    <xf numFmtId="0" fontId="0" fillId="3" borderId="0" xfId="0" applyFill="1" applyAlignment="1"/>
    <xf numFmtId="0" fontId="6" fillId="3" borderId="0" xfId="0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0" fillId="3" borderId="0" xfId="0" applyFont="1" applyFill="1" applyAlignment="1"/>
    <xf numFmtId="0" fontId="12" fillId="3" borderId="0" xfId="0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164" fontId="12" fillId="3" borderId="1" xfId="0" applyNumberFormat="1" applyFont="1" applyFill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5" fillId="3" borderId="0" xfId="0" applyFont="1" applyFill="1" applyAlignment="1"/>
    <xf numFmtId="0" fontId="19" fillId="3" borderId="0" xfId="0" applyFont="1" applyFill="1" applyAlignment="1"/>
    <xf numFmtId="0" fontId="12" fillId="3" borderId="0" xfId="0" applyFont="1" applyFill="1" applyAlignment="1">
      <alignment horizontal="left" vertical="center" indent="1"/>
    </xf>
    <xf numFmtId="0" fontId="11" fillId="3" borderId="0" xfId="0" applyFont="1" applyFill="1" applyBorder="1" applyAlignment="1">
      <alignment horizontal="right" vertical="center" indent="1"/>
    </xf>
    <xf numFmtId="0" fontId="8" fillId="3" borderId="0" xfId="0" applyFont="1" applyFill="1" applyAlignment="1">
      <alignment horizontal="right" vertical="center" indent="1"/>
    </xf>
    <xf numFmtId="0" fontId="9" fillId="3" borderId="0" xfId="0" applyFont="1" applyFill="1" applyBorder="1" applyAlignment="1">
      <alignment horizontal="right" vertical="center" indent="1"/>
    </xf>
    <xf numFmtId="0" fontId="13" fillId="2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/>
    </xf>
    <xf numFmtId="0" fontId="13" fillId="2" borderId="0" xfId="0" applyFont="1" applyFill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4" fontId="13" fillId="2" borderId="0" xfId="0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left" vertical="center"/>
    </xf>
    <xf numFmtId="14" fontId="0" fillId="3" borderId="0" xfId="0" applyNumberFormat="1" applyFill="1"/>
    <xf numFmtId="0" fontId="12" fillId="3" borderId="0" xfId="0" applyFont="1" applyFill="1" applyAlignment="1">
      <alignment horizontal="left" vertical="center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4" fontId="12" fillId="3" borderId="0" xfId="0" applyNumberFormat="1" applyFont="1" applyFill="1" applyAlignment="1">
      <alignment horizontal="left" vertical="center"/>
    </xf>
    <xf numFmtId="0" fontId="13" fillId="2" borderId="5" xfId="0" applyFont="1" applyFill="1" applyBorder="1" applyAlignment="1">
      <alignment vertical="center"/>
    </xf>
    <xf numFmtId="164" fontId="13" fillId="2" borderId="5" xfId="0" applyNumberFormat="1" applyFont="1" applyFill="1" applyBorder="1" applyAlignment="1">
      <alignment vertical="center"/>
    </xf>
    <xf numFmtId="164" fontId="13" fillId="2" borderId="5" xfId="1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164" fontId="12" fillId="3" borderId="0" xfId="0" applyNumberFormat="1" applyFont="1" applyFill="1" applyBorder="1" applyAlignment="1">
      <alignment vertical="center"/>
    </xf>
    <xf numFmtId="0" fontId="12" fillId="3" borderId="0" xfId="0" applyFont="1" applyFill="1" applyBorder="1" applyAlignment="1">
      <alignment horizontal="left" vertical="center"/>
    </xf>
    <xf numFmtId="164" fontId="12" fillId="3" borderId="0" xfId="0" applyNumberFormat="1" applyFont="1" applyFill="1" applyBorder="1" applyAlignment="1">
      <alignment horizontal="left" vertical="center"/>
    </xf>
    <xf numFmtId="0" fontId="12" fillId="3" borderId="0" xfId="0" applyFont="1" applyFill="1" applyBorder="1" applyAlignment="1">
      <alignment horizontal="center" vertical="center"/>
    </xf>
    <xf numFmtId="164" fontId="12" fillId="3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right" vertical="center"/>
    </xf>
    <xf numFmtId="14" fontId="12" fillId="3" borderId="0" xfId="0" applyNumberFormat="1" applyFont="1" applyFill="1" applyBorder="1" applyAlignment="1">
      <alignment horizontal="center" vertical="center"/>
    </xf>
    <xf numFmtId="164" fontId="0" fillId="2" borderId="0" xfId="0" applyNumberFormat="1" applyFill="1"/>
    <xf numFmtId="0" fontId="12" fillId="3" borderId="6" xfId="0" applyFont="1" applyFill="1" applyBorder="1" applyAlignment="1">
      <alignment horizontal="left" vertical="center" indent="1"/>
    </xf>
    <xf numFmtId="0" fontId="10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16" fillId="3" borderId="0" xfId="0" applyFont="1" applyFill="1" applyAlignment="1">
      <alignment horizontal="left"/>
    </xf>
    <xf numFmtId="0" fontId="19" fillId="3" borderId="0" xfId="0" applyFont="1" applyFill="1" applyAlignment="1">
      <alignment horizontal="left"/>
    </xf>
    <xf numFmtId="0" fontId="16" fillId="3" borderId="0" xfId="0" applyFont="1" applyFill="1" applyAlignment="1">
      <alignment horizontal="left" vertical="center"/>
    </xf>
  </cellXfs>
  <cellStyles count="2">
    <cellStyle name="Normal" xfId="0" builtinId="0"/>
    <cellStyle name="Pourcentage" xfId="1" builtinId="5"/>
  </cellStyles>
  <dxfs count="56">
    <dxf>
      <font>
        <strike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color rgb="FFFF0000"/>
      </font>
    </dxf>
    <dxf>
      <font>
        <color rgb="FF01B300"/>
      </font>
    </dxf>
    <dxf>
      <font>
        <color rgb="FFFF7F00"/>
      </font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b/>
        <i val="0"/>
        <sz val="11"/>
        <color theme="1"/>
        <name val="Product Sans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1"/>
        <color theme="1"/>
        <name val="Product Sans"/>
        <family val="2"/>
        <scheme val="none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tyle 1" pivot="0" table="0" count="10" xr9:uid="{68B2A081-750C-4C21-A5DE-8D839AE1BF58}">
      <tableStyleElement type="wholeTable" dxfId="55"/>
      <tableStyleElement type="headerRow" dxfId="54"/>
    </tableStyle>
    <tableStyle name="Style2" pivot="0" table="0" count="10" xr9:uid="{7F652A90-6AE8-464D-AB54-7DFB6859E687}">
      <tableStyleElement type="wholeTable" dxfId="53"/>
      <tableStyleElement type="headerRow" dxfId="52"/>
    </tableStyle>
  </tableStyles>
  <colors>
    <mruColors>
      <color rgb="FF999999"/>
      <color rgb="FFA6A6A6"/>
      <color rgb="FFF5F5F5"/>
      <color rgb="FFFFFCF7"/>
      <color rgb="FF51459E"/>
      <color rgb="FFF2E9FF"/>
      <color rgb="FFE2E2E2"/>
      <color rgb="FFFAFAFA"/>
      <color rgb="FFFFFFFF"/>
      <color rgb="FFEEEEEE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 tint="0.59999389629810485"/>
              <bgColor rgb="FFF5F5F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/>
              <bgColor rgb="FFFAFAF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 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996460</xdr:colOff>
      <xdr:row>17</xdr:row>
      <xdr:rowOff>49703</xdr:rowOff>
    </xdr:from>
    <xdr:to>
      <xdr:col>9</xdr:col>
      <xdr:colOff>35029</xdr:colOff>
      <xdr:row>18</xdr:row>
      <xdr:rowOff>21287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6787035-7718-4DC3-92D6-B888E8F5C905}"/>
            </a:ext>
          </a:extLst>
        </xdr:cNvPr>
        <xdr:cNvSpPr/>
      </xdr:nvSpPr>
      <xdr:spPr>
        <a:xfrm>
          <a:off x="7221414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Sortie</a:t>
          </a:r>
        </a:p>
      </xdr:txBody>
    </xdr:sp>
    <xdr:clientData/>
  </xdr:twoCellAnchor>
  <xdr:twoCellAnchor>
    <xdr:from>
      <xdr:col>6</xdr:col>
      <xdr:colOff>18288</xdr:colOff>
      <xdr:row>17</xdr:row>
      <xdr:rowOff>49703</xdr:rowOff>
    </xdr:from>
    <xdr:to>
      <xdr:col>6</xdr:col>
      <xdr:colOff>774288</xdr:colOff>
      <xdr:row>18</xdr:row>
      <xdr:rowOff>21287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59911A0-15C1-4265-B15E-19BED6FCECE2}"/>
            </a:ext>
          </a:extLst>
        </xdr:cNvPr>
        <xdr:cNvSpPr/>
      </xdr:nvSpPr>
      <xdr:spPr>
        <a:xfrm>
          <a:off x="3599688" y="3859703"/>
          <a:ext cx="756000" cy="252938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12422</xdr:colOff>
      <xdr:row>17</xdr:row>
      <xdr:rowOff>49703</xdr:rowOff>
    </xdr:from>
    <xdr:to>
      <xdr:col>8</xdr:col>
      <xdr:colOff>768422</xdr:colOff>
      <xdr:row>18</xdr:row>
      <xdr:rowOff>21287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59CF9C97-38A7-4FCD-8781-C57AB63A9E48}"/>
            </a:ext>
          </a:extLst>
        </xdr:cNvPr>
        <xdr:cNvSpPr/>
      </xdr:nvSpPr>
      <xdr:spPr>
        <a:xfrm>
          <a:off x="6237376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Entrée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690988</xdr:colOff>
      <xdr:row>9</xdr:row>
      <xdr:rowOff>145773</xdr:rowOff>
    </xdr:from>
    <xdr:to>
      <xdr:col>5</xdr:col>
      <xdr:colOff>1410988</xdr:colOff>
      <xdr:row>11</xdr:row>
      <xdr:rowOff>26712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4905012-F30E-45E8-B91E-98B0FB63AAFA}"/>
            </a:ext>
          </a:extLst>
        </xdr:cNvPr>
        <xdr:cNvSpPr/>
      </xdr:nvSpPr>
      <xdr:spPr>
        <a:xfrm>
          <a:off x="6581579" y="2252869"/>
          <a:ext cx="720000" cy="252000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Ajouter</a:t>
          </a:r>
        </a:p>
      </xdr:txBody>
    </xdr:sp>
    <xdr:clientData/>
  </xdr:twoCellAnchor>
  <xdr:twoCellAnchor>
    <xdr:from>
      <xdr:col>4</xdr:col>
      <xdr:colOff>1179444</xdr:colOff>
      <xdr:row>9</xdr:row>
      <xdr:rowOff>145773</xdr:rowOff>
    </xdr:from>
    <xdr:to>
      <xdr:col>5</xdr:col>
      <xdr:colOff>527844</xdr:colOff>
      <xdr:row>11</xdr:row>
      <xdr:rowOff>26712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2901793D-7FE0-4780-89AE-DB69CF8F3EAF}"/>
            </a:ext>
          </a:extLst>
        </xdr:cNvPr>
        <xdr:cNvSpPr/>
      </xdr:nvSpPr>
      <xdr:spPr>
        <a:xfrm>
          <a:off x="5698435" y="2252869"/>
          <a:ext cx="720000" cy="252000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7ADDF-8724-4FBD-A21F-3CA7E69BDD54}" name="listeProduits" displayName="listeProduits" ref="C14:J25" totalsRowShown="0" headerRowDxfId="51" dataDxfId="50">
  <autoFilter ref="C14:J25" xr:uid="{7DBD995E-9056-48FE-A692-A1C33325CB75}"/>
  <tableColumns count="8">
    <tableColumn id="1" xr3:uid="{0229BEFB-2762-4DD6-BE9F-BB731D9D2550}" name="Référence" dataDxfId="49"/>
    <tableColumn id="2" xr3:uid="{69181FD6-241F-48AC-8770-FD360A3A5D09}" name="Désignation" dataDxfId="48"/>
    <tableColumn id="3" xr3:uid="{653A60CB-48A1-4B6B-8CEE-A19375500291}" name="Catégorie" dataDxfId="47"/>
    <tableColumn id="4" xr3:uid="{57170E49-5279-4228-9CCA-87DFA972F364}" name="Unité" dataDxfId="46"/>
    <tableColumn id="8" xr3:uid="{56D46FC4-26DA-485D-BF6A-955386E6D988}" name="Seuil d'alerte" dataDxfId="45"/>
    <tableColumn id="7" xr3:uid="{98C0B310-9549-478B-9F9D-EE31A9EAA7C3}" name="Stock initial" dataDxfId="44"/>
    <tableColumn id="6" xr3:uid="{67E0BD55-1F7C-4945-860F-0026DA4965D6}" name="Prix unitaire" dataDxfId="43"/>
    <tableColumn id="5" xr3:uid="{8794DDBC-18EB-4B0A-B625-070918D096DB}" name="Total" dataDxfId="42">
      <calculatedColumnFormula>listeProduits[[#This Row],[Stock initial]]*listeProduits[[#This Row],[Prix unitaire]]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010C46-8DEB-4521-8D5A-D81198D89F82}" name="listeAchats" displayName="listeAchats" ref="C6:K63" totalsRowShown="0" headerRowDxfId="41" dataDxfId="40">
  <autoFilter ref="C6:K63" xr:uid="{FBC92809-A0A3-41BD-BD6B-A1A48E41444F}"/>
  <tableColumns count="9">
    <tableColumn id="1" xr3:uid="{6036FD50-7731-4593-8EAC-FADBAEF83BAB}" name="Numéro" dataDxfId="39"/>
    <tableColumn id="10" xr3:uid="{BC77A533-7FE4-4F09-9092-C2700BC2AB71}" name="Date" dataDxfId="38"/>
    <tableColumn id="9" xr3:uid="{FA449DF7-B3D0-4548-A945-06B4965F1B20}" name="Référence" dataDxfId="37"/>
    <tableColumn id="8" xr3:uid="{77AECE20-D510-423B-9DCF-36C61FAC7276}" name="Désignation" dataDxfId="36"/>
    <tableColumn id="7" xr3:uid="{6855B33D-4745-4741-9779-09D7B20EEC1A}" name="Catégorie" dataDxfId="35"/>
    <tableColumn id="6" xr3:uid="{AA238DD9-AF59-4091-9793-9DF7C13A007B}" name="Unité" dataDxfId="34"/>
    <tableColumn id="5" xr3:uid="{F95BCB2C-A98F-4257-8D0B-F4750BE5D00E}" name="Coût d'achat" dataDxfId="33"/>
    <tableColumn id="2" xr3:uid="{E7797A9D-C487-4F25-A92A-49779B14AD1C}" name="Quantité" dataDxfId="32"/>
    <tableColumn id="3" xr3:uid="{9481A671-1A37-48FD-9423-3882301CDABC}" name="Total" dataDxfId="3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97AFBA-9F9F-4CDC-BE43-538AF748D910}" name="listeVentes" displayName="listeVentes" ref="C6:K66" totalsRowShown="0" headerRowDxfId="30" dataDxfId="29">
  <autoFilter ref="C6:K66" xr:uid="{22FDADE4-02FF-46E6-AF6F-3871B013E254}"/>
  <tableColumns count="9">
    <tableColumn id="1" xr3:uid="{E27792E8-AD65-44DE-8928-F2F127115287}" name="Numéro" dataDxfId="28"/>
    <tableColumn id="10" xr3:uid="{504282B1-4D3E-4C1A-8AFC-FF1D140BEC81}" name="Date" dataDxfId="27"/>
    <tableColumn id="9" xr3:uid="{27CE6545-277D-4C40-B1C0-FFE9AF03D9A8}" name="Référence" dataDxfId="26"/>
    <tableColumn id="8" xr3:uid="{928709BF-CA60-40E2-A381-29FB9C39540F}" name="Désignation" dataDxfId="25"/>
    <tableColumn id="7" xr3:uid="{CCD6BBBF-AAC8-49F6-942E-F736F510C7D5}" name="Catégorie" dataDxfId="24"/>
    <tableColumn id="6" xr3:uid="{F1857E15-A99F-4799-83EE-E2F326BE1821}" name="Unité" dataDxfId="23"/>
    <tableColumn id="5" xr3:uid="{4234A30E-AFCB-4635-A3CC-009F32C5B30B}" name="Prix de vente" dataDxfId="22"/>
    <tableColumn id="2" xr3:uid="{29E2188B-82CC-4864-AAEB-AAD3346C18B8}" name="Quantité" dataDxfId="21"/>
    <tableColumn id="3" xr3:uid="{71262398-BBBF-4CDF-A096-8F3BD034ADF1}" name="Total" dataDxfId="2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327331-FCE2-47EC-AC7A-264D45049CD5}" name="listeInventaire" displayName="listeInventaire" ref="C5:N16" totalsRowShown="0" headerRowDxfId="16" dataDxfId="14" headerRowBorderDxfId="15" tableBorderDxfId="13" totalsRowBorderDxfId="12">
  <autoFilter ref="C5:N16" xr:uid="{9461CF19-655C-4501-BCB1-5A2CB4358DAD}"/>
  <tableColumns count="12">
    <tableColumn id="1" xr3:uid="{CE917253-C0E9-4992-B8E4-4F53EBB1ED59}" name="Référence" dataDxfId="11"/>
    <tableColumn id="10" xr3:uid="{9D6FDADB-9941-4A3B-A0F4-718BC2EDC925}" name="Désignation" dataDxfId="10">
      <calculatedColumnFormula>IFERROR(VLOOKUP(listeInventaire[[#This Row],[Référence]],listeProduits[],2,FALSE),"")</calculatedColumnFormula>
    </tableColumn>
    <tableColumn id="9" xr3:uid="{3376FBB9-D02F-455F-86C4-3310A3C29B92}" name="Catégorie" dataDxfId="9">
      <calculatedColumnFormula>IFERROR(VLOOKUP(listeInventaire[[#This Row],[Référence]],listeProduits[],3,FALSE),"")</calculatedColumnFormula>
    </tableColumn>
    <tableColumn id="8" xr3:uid="{9006CB1C-F6E0-426E-B742-25F3F970B0C6}" name="Unité" dataDxfId="8">
      <calculatedColumnFormula>IFERROR(VLOOKUP(listeInventaire[[#This Row],[Référence]],listeProduits[],4,FALSE),"")</calculatedColumnFormula>
    </tableColumn>
    <tableColumn id="14" xr3:uid="{DD7C1828-E2CA-42B9-B2CD-5549891AFF53}" name="Seuil d'alerte" dataDxfId="7">
      <calculatedColumnFormula>IFERROR(VLOOKUP(listeInventaire[[#This Row],[Référence]],listeProduits[],5,FALSE),"")</calculatedColumnFormula>
    </tableColumn>
    <tableColumn id="7" xr3:uid="{9FE58FD7-B33E-40D5-81AE-9971B77BF32A}" name="Stock initial" dataDxfId="6">
      <calculatedColumnFormula>IFERROR(VLOOKUP(listeInventaire[[#This Row],[Référence]],listeProduits[],6,FALSE),"")</calculatedColumnFormula>
    </tableColumn>
    <tableColumn id="6" xr3:uid="{7C4F6B98-BCBF-4D26-9642-E5447B396DDE}" name="Entrées" dataDxfId="5">
      <calculatedColumnFormula>SUMIF(listeAchats[Référence],listeInventaire[[#This Row],[Référence]],listeAchats[Quantité])</calculatedColumnFormula>
    </tableColumn>
    <tableColumn id="5" xr3:uid="{83CEEEA7-DB99-46BB-853A-34782B692876}" name="Sorties" dataDxfId="4">
      <calculatedColumnFormula>SUMIF(listeVentes[Référence],listeInventaire[[#This Row],[Référence]],listeVentes[Quantité])</calculatedColumnFormula>
    </tableColumn>
    <tableColumn id="11" xr3:uid="{5C858EA5-5FE3-48B7-9F7A-2459D826E103}" name="Stock final" dataDxfId="3">
      <calculatedColumnFormula>IFERROR(listeInventaire[[#This Row],[Stock initial]]+listeInventaire[[#This Row],[Entrées]]-listeInventaire[[#This Row],[Sorties]],"")</calculatedColumnFormula>
    </tableColumn>
    <tableColumn id="2" xr3:uid="{1AB82886-951E-490A-9714-0FED7CFCE89D}" name="CUMP" dataDxfId="2">
      <calculatedColumnFormula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calculatedColumnFormula>
    </tableColumn>
    <tableColumn id="13" xr3:uid="{B0301882-199A-4893-A4CD-746DD8B61B43}" name="Valeur" dataDxfId="1">
      <calculatedColumnFormula>IFERROR(listeInventaire[[#This Row],[Stock final]]*listeInventaire[[#This Row],[CUMP]],"")</calculatedColumnFormula>
    </tableColumn>
    <tableColumn id="3" xr3:uid="{D0316544-D8F0-4DB7-90A1-1C10BB3C8D00}" name="Statue" dataDxfId="0">
      <calculatedColumnFormula>IF(listeInventaire[[#This Row],[Stock final]]&gt;listeInventaire[[#This Row],[Seuil d''alerte]],"Stock normal",IF(listeInventaire[[#This Row],[Stock final]]=0,"Non disponible","Stock faible"))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nalisé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F46BA"/>
      </a:accent1>
      <a:accent2>
        <a:srgbClr val="F9896B"/>
      </a:accent2>
      <a:accent3>
        <a:srgbClr val="84E8F4"/>
      </a:accent3>
      <a:accent4>
        <a:srgbClr val="FDBC64"/>
      </a:accent4>
      <a:accent5>
        <a:srgbClr val="6D6D6D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5FA8B-24D8-47B8-8751-B19C5B27AA59}">
  <sheetPr codeName="Feuil5"/>
  <dimension ref="A1:P19"/>
  <sheetViews>
    <sheetView showGridLines="0" tabSelected="1" topLeftCell="B1" zoomScale="130" zoomScaleNormal="130" workbookViewId="0">
      <selection activeCell="I16" sqref="I16"/>
    </sheetView>
  </sheetViews>
  <sheetFormatPr baseColWidth="10" defaultColWidth="8.88671875" defaultRowHeight="14.4" x14ac:dyDescent="0.3"/>
  <cols>
    <col min="1" max="5" width="8.88671875" style="1"/>
    <col min="6" max="6" width="7.77734375" style="1" customWidth="1"/>
    <col min="7" max="7" width="29.6640625" style="1" customWidth="1"/>
    <col min="8" max="8" width="8.88671875" style="1" customWidth="1"/>
    <col min="9" max="9" width="25" style="1" customWidth="1"/>
    <col min="10" max="10" width="7.77734375" style="1" customWidth="1"/>
    <col min="11" max="16384" width="8.88671875" style="1"/>
  </cols>
  <sheetData>
    <row r="1" spans="1:16" ht="18.600000000000001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" customHeight="1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" customHeight="1" x14ac:dyDescent="0.35">
      <c r="A3" s="5"/>
      <c r="B3" s="5"/>
      <c r="C3" s="5"/>
      <c r="D3" s="5"/>
      <c r="E3" s="5"/>
      <c r="F3" s="2"/>
      <c r="G3" s="30" t="s">
        <v>17</v>
      </c>
      <c r="H3" s="3"/>
      <c r="I3" s="3"/>
      <c r="J3" s="2"/>
      <c r="K3" s="5"/>
      <c r="L3" s="5"/>
      <c r="M3" s="5"/>
      <c r="N3" s="5"/>
      <c r="O3" s="5"/>
      <c r="P3" s="5"/>
    </row>
    <row r="4" spans="1:16" ht="17.399999999999999" customHeight="1" x14ac:dyDescent="0.3">
      <c r="F4" s="2"/>
      <c r="G4" s="57" t="s">
        <v>28</v>
      </c>
      <c r="H4" s="57"/>
      <c r="I4" s="57"/>
      <c r="J4" s="2"/>
    </row>
    <row r="5" spans="1:16" ht="10.199999999999999" customHeight="1" x14ac:dyDescent="0.3">
      <c r="F5" s="2"/>
      <c r="G5" s="2"/>
      <c r="H5" s="3"/>
      <c r="I5" s="3"/>
      <c r="J5" s="2"/>
    </row>
    <row r="6" spans="1:16" ht="16.05" customHeight="1" x14ac:dyDescent="0.3">
      <c r="F6" s="2"/>
      <c r="G6" s="34" t="s">
        <v>31</v>
      </c>
      <c r="H6" s="2"/>
      <c r="I6" s="34" t="s">
        <v>2</v>
      </c>
      <c r="J6" s="2"/>
    </row>
    <row r="7" spans="1:16" ht="22.05" customHeight="1" x14ac:dyDescent="0.3">
      <c r="F7" s="2"/>
      <c r="G7" s="29"/>
      <c r="H7" s="2"/>
      <c r="I7" s="33"/>
      <c r="J7" s="2"/>
    </row>
    <row r="8" spans="1:16" ht="16.05" customHeight="1" x14ac:dyDescent="0.3">
      <c r="F8" s="2"/>
      <c r="G8" s="2"/>
      <c r="H8" s="2"/>
      <c r="I8" s="2"/>
      <c r="J8" s="2"/>
    </row>
    <row r="9" spans="1:16" ht="16.05" customHeight="1" x14ac:dyDescent="0.3">
      <c r="F9" s="2"/>
      <c r="G9" s="34" t="s">
        <v>30</v>
      </c>
      <c r="H9" s="2"/>
      <c r="I9" s="34" t="s">
        <v>9</v>
      </c>
      <c r="J9" s="2"/>
    </row>
    <row r="10" spans="1:16" ht="22.05" customHeight="1" x14ac:dyDescent="0.3">
      <c r="F10" s="2"/>
      <c r="G10" s="29" t="str">
        <f>IFERROR(VLOOKUP(G7,listeProduits[],2,FALSE),"")</f>
        <v/>
      </c>
      <c r="H10" s="2"/>
      <c r="I10" s="32">
        <v>0</v>
      </c>
      <c r="J10" s="2"/>
    </row>
    <row r="11" spans="1:16" ht="16.05" customHeight="1" x14ac:dyDescent="0.3">
      <c r="F11" s="2"/>
      <c r="G11" s="2"/>
      <c r="H11" s="2"/>
      <c r="I11" s="2"/>
      <c r="J11" s="2"/>
    </row>
    <row r="12" spans="1:16" ht="16.05" customHeight="1" x14ac:dyDescent="0.3">
      <c r="F12" s="2"/>
      <c r="G12" s="34" t="s">
        <v>29</v>
      </c>
      <c r="H12" s="2"/>
      <c r="I12" s="34" t="s">
        <v>33</v>
      </c>
      <c r="J12" s="2"/>
    </row>
    <row r="13" spans="1:16" ht="22.05" customHeight="1" x14ac:dyDescent="0.3">
      <c r="F13" s="2"/>
      <c r="G13" s="29" t="str">
        <f>IFERROR(VLOOKUP(G7,listeProduits[],3,FALSE),"")</f>
        <v/>
      </c>
      <c r="H13" s="2"/>
      <c r="I13" s="31"/>
      <c r="J13" s="2"/>
    </row>
    <row r="14" spans="1:16" ht="16.05" customHeight="1" x14ac:dyDescent="0.3">
      <c r="F14" s="2"/>
      <c r="G14" s="2"/>
      <c r="H14" s="2"/>
      <c r="I14" s="2"/>
      <c r="J14" s="2"/>
    </row>
    <row r="15" spans="1:16" ht="16.05" customHeight="1" x14ac:dyDescent="0.3">
      <c r="F15" s="2"/>
      <c r="G15" s="34" t="s">
        <v>8</v>
      </c>
      <c r="H15" s="2"/>
      <c r="I15" s="34" t="s">
        <v>6</v>
      </c>
      <c r="J15" s="2"/>
    </row>
    <row r="16" spans="1:16" ht="22.05" customHeight="1" x14ac:dyDescent="0.3">
      <c r="F16" s="2"/>
      <c r="G16" s="29" t="str">
        <f>IFERROR(VLOOKUP(G7,listeProduits[],4,FALSE),"")</f>
        <v/>
      </c>
      <c r="H16" s="2"/>
      <c r="I16" s="35">
        <f>I10*I13</f>
        <v>0</v>
      </c>
      <c r="J16" s="2"/>
    </row>
    <row r="17" spans="6:10" ht="16.05" customHeight="1" x14ac:dyDescent="0.3">
      <c r="F17" s="2"/>
      <c r="G17" s="7"/>
      <c r="H17" s="2"/>
      <c r="I17" s="2"/>
      <c r="J17" s="2"/>
    </row>
    <row r="18" spans="6:10" ht="22.2" customHeight="1" x14ac:dyDescent="0.3">
      <c r="F18" s="2"/>
      <c r="G18" s="2"/>
      <c r="H18" s="2"/>
      <c r="I18" s="2"/>
      <c r="J18" s="2"/>
    </row>
    <row r="19" spans="6:10" ht="17.399999999999999" customHeight="1" x14ac:dyDescent="0.3">
      <c r="F19" s="2"/>
      <c r="G19" s="2"/>
      <c r="H19" s="2"/>
      <c r="I19" s="2"/>
      <c r="J19" s="2"/>
    </row>
  </sheetData>
  <mergeCells count="1">
    <mergeCell ref="G4:I4"/>
  </mergeCells>
  <dataValidations count="1">
    <dataValidation type="date" operator="greaterThan" allowBlank="1" showInputMessage="1" showErrorMessage="1" error="Veuillez saisir une date correcte" sqref="I7" xr:uid="{43724A14-38E0-4E71-97D0-093663A523AB}">
      <formula1>44561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BDFC9-46C5-4D9C-81D5-B08E2915CCD3}">
  <sheetPr codeName="Feuil8"/>
  <dimension ref="A1:N31"/>
  <sheetViews>
    <sheetView showGridLines="0" zoomScale="115" zoomScaleNormal="115" workbookViewId="0">
      <selection activeCell="G11" sqref="G11"/>
    </sheetView>
  </sheetViews>
  <sheetFormatPr baseColWidth="10" defaultColWidth="8.88671875" defaultRowHeight="14.4" x14ac:dyDescent="0.3"/>
  <cols>
    <col min="1" max="1" width="11.77734375" style="1" customWidth="1"/>
    <col min="2" max="2" width="7.77734375" style="1" customWidth="1"/>
    <col min="3" max="3" width="15.109375" style="1" customWidth="1"/>
    <col min="4" max="4" width="31.21875" style="1" customWidth="1"/>
    <col min="5" max="5" width="20" style="1" customWidth="1"/>
    <col min="6" max="6" width="20.5546875" style="1" customWidth="1"/>
    <col min="7" max="7" width="14.109375" style="1" customWidth="1"/>
    <col min="8" max="8" width="13.21875" style="1" customWidth="1"/>
    <col min="9" max="9" width="13" style="1" customWidth="1"/>
    <col min="10" max="10" width="14" style="1" customWidth="1"/>
    <col min="11" max="11" width="7.77734375" style="1" customWidth="1"/>
    <col min="12" max="17" width="11.77734375" style="1" customWidth="1"/>
    <col min="18" max="19" width="9.77734375" style="1" customWidth="1"/>
    <col min="20" max="16384" width="8.88671875" style="1"/>
  </cols>
  <sheetData>
    <row r="1" spans="1:14" ht="22.2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3.8" customHeight="1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ht="26.4" customHeight="1" x14ac:dyDescent="0.35">
      <c r="A3" s="5"/>
      <c r="B3" s="9"/>
      <c r="C3" s="58" t="s">
        <v>42</v>
      </c>
      <c r="D3" s="58"/>
      <c r="E3" s="58"/>
      <c r="F3" s="8"/>
      <c r="G3" s="8"/>
      <c r="H3" s="8"/>
      <c r="I3" s="8"/>
      <c r="J3" s="3"/>
      <c r="K3" s="2"/>
      <c r="L3" s="5"/>
      <c r="M3" s="5"/>
      <c r="N3" s="5"/>
    </row>
    <row r="4" spans="1:14" ht="15" customHeight="1" x14ac:dyDescent="0.3">
      <c r="B4" s="9"/>
      <c r="C4" s="57" t="s">
        <v>48</v>
      </c>
      <c r="D4" s="57"/>
      <c r="E4" s="12"/>
      <c r="F4" s="12"/>
      <c r="G4" s="12"/>
      <c r="H4" s="12"/>
      <c r="I4" s="12"/>
      <c r="J4" s="12"/>
      <c r="K4" s="2"/>
      <c r="L4" s="5"/>
      <c r="M4" s="5"/>
      <c r="N4" s="5"/>
    </row>
    <row r="5" spans="1:14" ht="15" thickBot="1" x14ac:dyDescent="0.35">
      <c r="B5" s="2"/>
      <c r="C5" s="2"/>
      <c r="D5" s="2"/>
      <c r="E5" s="2"/>
      <c r="F5" s="2"/>
      <c r="G5" s="2"/>
      <c r="H5" s="2"/>
      <c r="I5" s="2"/>
      <c r="J5" s="3"/>
      <c r="K5" s="2"/>
    </row>
    <row r="6" spans="1:14" ht="18" customHeight="1" thickTop="1" thickBot="1" x14ac:dyDescent="0.35">
      <c r="B6" s="2"/>
      <c r="C6" s="26" t="s">
        <v>14</v>
      </c>
      <c r="D6" s="44"/>
      <c r="E6" s="28" t="s">
        <v>25</v>
      </c>
      <c r="F6" s="44">
        <v>0</v>
      </c>
      <c r="G6" s="2"/>
      <c r="H6" s="2"/>
      <c r="I6" s="2"/>
      <c r="J6" s="2"/>
      <c r="K6" s="2"/>
    </row>
    <row r="7" spans="1:14" ht="18" customHeight="1" thickTop="1" thickBot="1" x14ac:dyDescent="0.35">
      <c r="B7" s="2"/>
      <c r="C7" s="27" t="s">
        <v>0</v>
      </c>
      <c r="D7" s="44"/>
      <c r="E7" s="26" t="s">
        <v>26</v>
      </c>
      <c r="F7" s="44">
        <v>0</v>
      </c>
      <c r="G7" s="2"/>
      <c r="H7" s="2"/>
      <c r="I7" s="2"/>
      <c r="J7" s="2"/>
      <c r="K7" s="2"/>
    </row>
    <row r="8" spans="1:14" ht="18" customHeight="1" thickTop="1" thickBot="1" x14ac:dyDescent="0.35">
      <c r="B8" s="2"/>
      <c r="C8" s="27" t="s">
        <v>15</v>
      </c>
      <c r="D8" s="44"/>
      <c r="E8" s="26" t="s">
        <v>27</v>
      </c>
      <c r="F8" s="46">
        <v>0</v>
      </c>
      <c r="G8" s="2"/>
      <c r="H8" s="2"/>
      <c r="I8" s="2"/>
      <c r="J8" s="2"/>
      <c r="K8" s="2"/>
    </row>
    <row r="9" spans="1:14" ht="18" customHeight="1" thickTop="1" thickBot="1" x14ac:dyDescent="0.35">
      <c r="B9" s="2"/>
      <c r="C9" s="27" t="s">
        <v>24</v>
      </c>
      <c r="D9" s="44"/>
      <c r="E9" s="26" t="s">
        <v>23</v>
      </c>
      <c r="F9" s="45">
        <f>F7*F8</f>
        <v>0</v>
      </c>
      <c r="G9" s="2"/>
      <c r="H9" s="2"/>
      <c r="I9" s="2"/>
      <c r="J9" s="2"/>
      <c r="K9" s="2"/>
    </row>
    <row r="10" spans="1:14" ht="18" customHeight="1" thickTop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4" ht="10.8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4" ht="18" customHeight="1" x14ac:dyDescent="0.35">
      <c r="B12" s="2"/>
      <c r="C12" s="58" t="s">
        <v>43</v>
      </c>
      <c r="D12" s="58"/>
      <c r="E12" s="58"/>
      <c r="F12" s="2"/>
      <c r="G12" s="2"/>
      <c r="H12" s="2"/>
      <c r="I12" s="2"/>
      <c r="J12" s="2"/>
      <c r="K12" s="2"/>
    </row>
    <row r="13" spans="1:14" ht="6" customHeight="1" x14ac:dyDescent="0.35">
      <c r="B13" s="2"/>
      <c r="C13" s="10"/>
      <c r="D13" s="10"/>
      <c r="E13" s="10"/>
      <c r="F13" s="2"/>
      <c r="G13" s="2"/>
      <c r="H13" s="2"/>
      <c r="I13" s="2"/>
      <c r="J13" s="2"/>
      <c r="K13" s="2"/>
    </row>
    <row r="14" spans="1:14" ht="18" customHeight="1" x14ac:dyDescent="0.3">
      <c r="A14" s="6"/>
      <c r="B14" s="9"/>
      <c r="C14" s="11" t="s">
        <v>14</v>
      </c>
      <c r="D14" s="11" t="s">
        <v>0</v>
      </c>
      <c r="E14" s="11" t="s">
        <v>15</v>
      </c>
      <c r="F14" s="11" t="s">
        <v>8</v>
      </c>
      <c r="G14" s="11" t="s">
        <v>3</v>
      </c>
      <c r="H14" s="11" t="s">
        <v>10</v>
      </c>
      <c r="I14" s="11" t="s">
        <v>9</v>
      </c>
      <c r="J14" s="11" t="s">
        <v>6</v>
      </c>
      <c r="K14" s="9"/>
    </row>
    <row r="15" spans="1:14" ht="18" customHeight="1" x14ac:dyDescent="0.3">
      <c r="A15" s="6"/>
      <c r="B15" s="9"/>
      <c r="C15" s="49" t="s">
        <v>53</v>
      </c>
      <c r="D15" s="49" t="s">
        <v>66</v>
      </c>
      <c r="E15" s="49" t="s">
        <v>58</v>
      </c>
      <c r="F15" s="47" t="s">
        <v>32</v>
      </c>
      <c r="G15" s="51">
        <v>10</v>
      </c>
      <c r="H15" s="51">
        <v>3</v>
      </c>
      <c r="I15" s="50">
        <v>1400</v>
      </c>
      <c r="J15" s="50">
        <f>listeProduits[[#This Row],[Stock initial]]*listeProduits[[#This Row],[Prix unitaire]]</f>
        <v>4200</v>
      </c>
      <c r="K15" s="9"/>
    </row>
    <row r="16" spans="1:14" ht="18" customHeight="1" x14ac:dyDescent="0.3">
      <c r="A16" s="6"/>
      <c r="B16" s="9"/>
      <c r="C16" s="49" t="s">
        <v>36</v>
      </c>
      <c r="D16" s="49" t="s">
        <v>50</v>
      </c>
      <c r="E16" s="49" t="s">
        <v>59</v>
      </c>
      <c r="F16" s="47" t="s">
        <v>32</v>
      </c>
      <c r="G16" s="51">
        <v>10</v>
      </c>
      <c r="H16" s="51">
        <v>6</v>
      </c>
      <c r="I16" s="50">
        <v>400</v>
      </c>
      <c r="J16" s="50">
        <f>listeProduits[[#This Row],[Stock initial]]*listeProduits[[#This Row],[Prix unitaire]]</f>
        <v>2400</v>
      </c>
      <c r="K16" s="9"/>
    </row>
    <row r="17" spans="1:11" ht="18" customHeight="1" x14ac:dyDescent="0.3">
      <c r="A17" s="6"/>
      <c r="B17" s="9"/>
      <c r="C17" s="49" t="s">
        <v>35</v>
      </c>
      <c r="D17" s="49" t="s">
        <v>49</v>
      </c>
      <c r="E17" s="49" t="s">
        <v>59</v>
      </c>
      <c r="F17" s="47" t="s">
        <v>32</v>
      </c>
      <c r="G17" s="51">
        <v>10</v>
      </c>
      <c r="H17" s="51">
        <v>3</v>
      </c>
      <c r="I17" s="50">
        <v>750</v>
      </c>
      <c r="J17" s="50">
        <f>listeProduits[[#This Row],[Stock initial]]*listeProduits[[#This Row],[Prix unitaire]]</f>
        <v>2250</v>
      </c>
      <c r="K17" s="9"/>
    </row>
    <row r="18" spans="1:11" ht="18" customHeight="1" x14ac:dyDescent="0.3">
      <c r="A18" s="6"/>
      <c r="B18" s="9"/>
      <c r="C18" s="49" t="s">
        <v>41</v>
      </c>
      <c r="D18" s="49" t="s">
        <v>61</v>
      </c>
      <c r="E18" s="49" t="s">
        <v>60</v>
      </c>
      <c r="F18" s="47" t="s">
        <v>32</v>
      </c>
      <c r="G18" s="51">
        <v>10</v>
      </c>
      <c r="H18" s="51">
        <v>0</v>
      </c>
      <c r="I18" s="50">
        <v>0</v>
      </c>
      <c r="J18" s="50">
        <f>listeProduits[[#This Row],[Stock initial]]*listeProduits[[#This Row],[Prix unitaire]]</f>
        <v>0</v>
      </c>
      <c r="K18" s="9"/>
    </row>
    <row r="19" spans="1:11" ht="18" customHeight="1" x14ac:dyDescent="0.3">
      <c r="A19" s="6"/>
      <c r="B19" s="9"/>
      <c r="C19" s="49" t="s">
        <v>40</v>
      </c>
      <c r="D19" s="49" t="s">
        <v>62</v>
      </c>
      <c r="E19" s="49" t="s">
        <v>60</v>
      </c>
      <c r="F19" s="47" t="s">
        <v>32</v>
      </c>
      <c r="G19" s="51">
        <v>10</v>
      </c>
      <c r="H19" s="51">
        <v>6</v>
      </c>
      <c r="I19" s="50">
        <v>150</v>
      </c>
      <c r="J19" s="50">
        <f>listeProduits[[#This Row],[Stock initial]]*listeProduits[[#This Row],[Prix unitaire]]</f>
        <v>900</v>
      </c>
      <c r="K19" s="9"/>
    </row>
    <row r="20" spans="1:11" ht="18" customHeight="1" x14ac:dyDescent="0.3">
      <c r="A20" s="6"/>
      <c r="B20" s="9"/>
      <c r="C20" s="49" t="s">
        <v>39</v>
      </c>
      <c r="D20" s="49" t="s">
        <v>63</v>
      </c>
      <c r="E20" s="49" t="s">
        <v>60</v>
      </c>
      <c r="F20" s="47" t="s">
        <v>32</v>
      </c>
      <c r="G20" s="51">
        <v>10</v>
      </c>
      <c r="H20" s="51">
        <v>3</v>
      </c>
      <c r="I20" s="50">
        <v>300</v>
      </c>
      <c r="J20" s="50">
        <f>listeProduits[[#This Row],[Stock initial]]*listeProduits[[#This Row],[Prix unitaire]]</f>
        <v>900</v>
      </c>
      <c r="K20" s="9"/>
    </row>
    <row r="21" spans="1:11" ht="18" customHeight="1" x14ac:dyDescent="0.3">
      <c r="A21" s="6"/>
      <c r="B21" s="9"/>
      <c r="C21" s="49" t="s">
        <v>38</v>
      </c>
      <c r="D21" s="49" t="s">
        <v>64</v>
      </c>
      <c r="E21" s="49" t="s">
        <v>60</v>
      </c>
      <c r="F21" s="47" t="s">
        <v>32</v>
      </c>
      <c r="G21" s="51">
        <v>10</v>
      </c>
      <c r="H21" s="51">
        <v>5</v>
      </c>
      <c r="I21" s="50">
        <v>700</v>
      </c>
      <c r="J21" s="50">
        <f>listeProduits[[#This Row],[Stock initial]]*listeProduits[[#This Row],[Prix unitaire]]</f>
        <v>3500</v>
      </c>
      <c r="K21" s="9"/>
    </row>
    <row r="22" spans="1:11" ht="18" customHeight="1" x14ac:dyDescent="0.3">
      <c r="A22" s="6"/>
      <c r="B22" s="9"/>
      <c r="C22" s="47" t="s">
        <v>52</v>
      </c>
      <c r="D22" s="47" t="s">
        <v>51</v>
      </c>
      <c r="E22" s="47" t="s">
        <v>58</v>
      </c>
      <c r="F22" s="47" t="s">
        <v>32</v>
      </c>
      <c r="G22" s="51">
        <v>10</v>
      </c>
      <c r="H22" s="51">
        <v>20</v>
      </c>
      <c r="I22" s="48">
        <v>600</v>
      </c>
      <c r="J22" s="48">
        <f>listeProduits[[#This Row],[Stock initial]]*listeProduits[[#This Row],[Prix unitaire]]</f>
        <v>12000</v>
      </c>
      <c r="K22" s="9"/>
    </row>
    <row r="23" spans="1:11" ht="18" customHeight="1" x14ac:dyDescent="0.3">
      <c r="A23" s="6"/>
      <c r="B23" s="9"/>
      <c r="C23" s="13" t="s">
        <v>54</v>
      </c>
      <c r="D23" s="13" t="s">
        <v>18</v>
      </c>
      <c r="E23" s="13" t="s">
        <v>19</v>
      </c>
      <c r="F23" s="13" t="s">
        <v>20</v>
      </c>
      <c r="G23" s="15">
        <v>10</v>
      </c>
      <c r="H23" s="15">
        <v>10</v>
      </c>
      <c r="I23" s="14">
        <v>0.2</v>
      </c>
      <c r="J23" s="14">
        <f>listeProduits[[#This Row],[Stock initial]]*listeProduits[[#This Row],[Prix unitaire]]</f>
        <v>2</v>
      </c>
      <c r="K23" s="9"/>
    </row>
    <row r="24" spans="1:11" ht="18" customHeight="1" x14ac:dyDescent="0.3">
      <c r="A24" s="6"/>
      <c r="B24" s="9"/>
      <c r="C24" s="13" t="s">
        <v>55</v>
      </c>
      <c r="D24" s="13" t="s">
        <v>18</v>
      </c>
      <c r="E24" s="13" t="s">
        <v>19</v>
      </c>
      <c r="F24" s="13" t="s">
        <v>21</v>
      </c>
      <c r="G24" s="15">
        <v>50</v>
      </c>
      <c r="H24" s="15">
        <v>15</v>
      </c>
      <c r="I24" s="14">
        <v>2</v>
      </c>
      <c r="J24" s="14">
        <f>listeProduits[[#This Row],[Stock initial]]*listeProduits[[#This Row],[Prix unitaire]]</f>
        <v>30</v>
      </c>
      <c r="K24" s="9"/>
    </row>
    <row r="25" spans="1:11" ht="18" customHeight="1" x14ac:dyDescent="0.3">
      <c r="B25" s="9"/>
      <c r="C25" s="13" t="s">
        <v>56</v>
      </c>
      <c r="D25" s="13" t="s">
        <v>18</v>
      </c>
      <c r="E25" s="13" t="s">
        <v>19</v>
      </c>
      <c r="F25" s="13" t="s">
        <v>22</v>
      </c>
      <c r="G25" s="15">
        <v>20</v>
      </c>
      <c r="H25" s="15">
        <v>5</v>
      </c>
      <c r="I25" s="14">
        <v>4</v>
      </c>
      <c r="J25" s="14">
        <f>listeProduits[[#This Row],[Stock initial]]*listeProduits[[#This Row],[Prix unitaire]]</f>
        <v>20</v>
      </c>
      <c r="K25" s="9"/>
    </row>
    <row r="26" spans="1:11" ht="18" customHeight="1" x14ac:dyDescent="0.3">
      <c r="B26" s="2"/>
      <c r="C26" s="2"/>
      <c r="D26" s="2"/>
      <c r="E26" s="2"/>
      <c r="F26" s="2"/>
      <c r="G26" s="2"/>
      <c r="H26" s="2"/>
      <c r="I26" s="2"/>
      <c r="J26" s="2"/>
    </row>
    <row r="27" spans="1:11" ht="18" customHeight="1" x14ac:dyDescent="0.3">
      <c r="B27" s="2"/>
      <c r="C27" s="2"/>
      <c r="D27" s="2"/>
      <c r="E27" s="2"/>
      <c r="F27" s="2"/>
      <c r="G27" s="2"/>
      <c r="H27" s="2"/>
      <c r="I27" s="2"/>
      <c r="J27" s="2"/>
    </row>
    <row r="28" spans="1:11" ht="18" customHeight="1" x14ac:dyDescent="0.3"/>
    <row r="29" spans="1:11" ht="19.95" customHeight="1" x14ac:dyDescent="0.3"/>
    <row r="31" spans="1:11" x14ac:dyDescent="0.3">
      <c r="E31" s="55"/>
    </row>
  </sheetData>
  <mergeCells count="3">
    <mergeCell ref="C3:E3"/>
    <mergeCell ref="C4:D4"/>
    <mergeCell ref="C12:E12"/>
  </mergeCells>
  <phoneticPr fontId="14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9D3A-FCC7-40CC-866F-7A34F021AA1E}">
  <sheetPr codeName="Feuil10"/>
  <dimension ref="A1:P67"/>
  <sheetViews>
    <sheetView zoomScale="115" zoomScaleNormal="115" workbookViewId="0">
      <selection activeCell="C7" sqref="C7"/>
    </sheetView>
  </sheetViews>
  <sheetFormatPr baseColWidth="10" defaultColWidth="8.88671875" defaultRowHeight="14.4" x14ac:dyDescent="0.3"/>
  <cols>
    <col min="1" max="1" width="8.109375" style="1" customWidth="1"/>
    <col min="2" max="2" width="8.77734375" style="1" customWidth="1"/>
    <col min="3" max="3" width="9.44140625" style="1" customWidth="1"/>
    <col min="4" max="4" width="12.6640625" style="1" customWidth="1"/>
    <col min="5" max="5" width="11.5546875" style="1" customWidth="1"/>
    <col min="6" max="6" width="28.21875" style="1" customWidth="1"/>
    <col min="7" max="7" width="19.88671875" style="1" customWidth="1"/>
    <col min="8" max="8" width="17.88671875" style="1" customWidth="1"/>
    <col min="9" max="9" width="14" style="1" customWidth="1"/>
    <col min="10" max="10" width="10.5546875" style="42" customWidth="1"/>
    <col min="11" max="11" width="21.33203125" style="1" customWidth="1"/>
    <col min="12" max="12" width="8.77734375" style="1" customWidth="1"/>
    <col min="13" max="24" width="12.77734375" style="1" customWidth="1"/>
    <col min="25" max="16384" width="8.88671875" style="1"/>
  </cols>
  <sheetData>
    <row r="1" spans="1:16" ht="22.2" customHeight="1" x14ac:dyDescent="0.3">
      <c r="A1" s="4"/>
      <c r="B1" s="4"/>
      <c r="C1" s="4"/>
      <c r="D1" s="4"/>
      <c r="E1" s="4"/>
      <c r="F1" s="4"/>
      <c r="G1" s="4"/>
      <c r="H1" s="4"/>
      <c r="I1" s="4"/>
      <c r="J1" s="40"/>
      <c r="K1" s="4"/>
      <c r="L1" s="4"/>
      <c r="M1" s="4"/>
      <c r="N1" s="4"/>
      <c r="O1" s="4"/>
      <c r="P1" s="4"/>
    </row>
    <row r="2" spans="1:16" ht="13.8" customHeight="1" x14ac:dyDescent="0.3">
      <c r="A2" s="4"/>
      <c r="B2" s="4"/>
      <c r="C2" s="4"/>
      <c r="D2" s="4"/>
      <c r="E2" s="4"/>
      <c r="F2" s="4"/>
      <c r="G2" s="4"/>
      <c r="H2" s="4"/>
      <c r="I2" s="4"/>
      <c r="J2" s="40"/>
      <c r="K2" s="4"/>
      <c r="L2" s="4"/>
      <c r="M2" s="4"/>
      <c r="N2" s="4"/>
      <c r="O2" s="4"/>
      <c r="P2" s="4"/>
    </row>
    <row r="3" spans="1:16" ht="26.4" customHeight="1" x14ac:dyDescent="0.35">
      <c r="A3" s="5"/>
      <c r="B3" s="9"/>
      <c r="C3" s="58" t="s">
        <v>44</v>
      </c>
      <c r="D3" s="58"/>
      <c r="E3" s="58"/>
      <c r="F3" s="58"/>
      <c r="G3" s="58"/>
      <c r="H3" s="58"/>
      <c r="I3" s="58"/>
      <c r="J3" s="58"/>
      <c r="K3" s="58"/>
      <c r="L3" s="3"/>
      <c r="M3" s="5"/>
      <c r="N3" s="5"/>
      <c r="O3" s="5"/>
      <c r="P3" s="5"/>
    </row>
    <row r="4" spans="1:16" ht="16.8" customHeight="1" x14ac:dyDescent="0.3">
      <c r="A4" s="5"/>
      <c r="B4" s="9"/>
      <c r="C4" s="57" t="s">
        <v>47</v>
      </c>
      <c r="D4" s="57"/>
      <c r="E4" s="57"/>
      <c r="F4" s="57"/>
      <c r="G4" s="57"/>
      <c r="H4" s="57"/>
      <c r="I4" s="57"/>
      <c r="J4" s="57"/>
      <c r="K4" s="12"/>
      <c r="L4" s="12"/>
      <c r="M4" s="5"/>
      <c r="N4" s="5"/>
      <c r="O4" s="5"/>
      <c r="P4" s="5"/>
    </row>
    <row r="5" spans="1:16" x14ac:dyDescent="0.3">
      <c r="B5" s="2"/>
      <c r="C5" s="2"/>
      <c r="D5" s="2"/>
      <c r="E5" s="2"/>
      <c r="F5" s="2"/>
      <c r="G5" s="2"/>
      <c r="H5" s="2"/>
      <c r="I5" s="2"/>
      <c r="J5" s="41"/>
      <c r="K5" s="2"/>
      <c r="L5" s="3"/>
    </row>
    <row r="6" spans="1:16" ht="18" customHeight="1" x14ac:dyDescent="0.3">
      <c r="A6" s="6"/>
      <c r="B6" s="9"/>
      <c r="C6" s="11" t="s">
        <v>7</v>
      </c>
      <c r="D6" s="11" t="s">
        <v>2</v>
      </c>
      <c r="E6" s="11" t="s">
        <v>14</v>
      </c>
      <c r="F6" s="11" t="s">
        <v>0</v>
      </c>
      <c r="G6" s="11" t="s">
        <v>15</v>
      </c>
      <c r="H6" s="11" t="s">
        <v>8</v>
      </c>
      <c r="I6" s="11" t="s">
        <v>57</v>
      </c>
      <c r="J6" s="11" t="s">
        <v>1</v>
      </c>
      <c r="K6" s="11" t="s">
        <v>6</v>
      </c>
      <c r="L6" s="9"/>
    </row>
    <row r="7" spans="1:16" ht="18" customHeight="1" x14ac:dyDescent="0.3">
      <c r="A7" s="6"/>
      <c r="B7" s="9"/>
      <c r="C7" s="51">
        <f>C8+1</f>
        <v>57</v>
      </c>
      <c r="D7" s="54">
        <v>44698</v>
      </c>
      <c r="E7" s="49" t="s">
        <v>55</v>
      </c>
      <c r="F7" s="49" t="s">
        <v>18</v>
      </c>
      <c r="G7" s="49" t="s">
        <v>19</v>
      </c>
      <c r="H7" s="49" t="s">
        <v>21</v>
      </c>
      <c r="I7" s="52">
        <v>2</v>
      </c>
      <c r="J7" s="53">
        <v>25</v>
      </c>
      <c r="K7" s="50">
        <f>listeAchats[[#This Row],[Coût d''achat]]*listeAchats[[#This Row],[Quantité]]</f>
        <v>50</v>
      </c>
      <c r="L7" s="9"/>
    </row>
    <row r="8" spans="1:16" ht="18" customHeight="1" x14ac:dyDescent="0.3">
      <c r="A8" s="6"/>
      <c r="B8" s="9"/>
      <c r="C8" s="51">
        <f>C9+1</f>
        <v>56</v>
      </c>
      <c r="D8" s="54">
        <v>44698</v>
      </c>
      <c r="E8" s="49" t="s">
        <v>38</v>
      </c>
      <c r="F8" s="49" t="s">
        <v>64</v>
      </c>
      <c r="G8" s="49" t="s">
        <v>60</v>
      </c>
      <c r="H8" s="49" t="s">
        <v>32</v>
      </c>
      <c r="I8" s="52">
        <v>700</v>
      </c>
      <c r="J8" s="53">
        <v>5</v>
      </c>
      <c r="K8" s="50">
        <f>listeAchats[[#This Row],[Coût d''achat]]*listeAchats[[#This Row],[Quantité]]</f>
        <v>3500</v>
      </c>
      <c r="L8" s="9"/>
    </row>
    <row r="9" spans="1:16" ht="18" customHeight="1" x14ac:dyDescent="0.3">
      <c r="A9" s="6"/>
      <c r="B9" s="9"/>
      <c r="C9" s="51">
        <f t="shared" ref="C9:C40" si="0">C10+1</f>
        <v>55</v>
      </c>
      <c r="D9" s="54">
        <v>44686</v>
      </c>
      <c r="E9" s="49" t="s">
        <v>41</v>
      </c>
      <c r="F9" s="49" t="s">
        <v>61</v>
      </c>
      <c r="G9" s="49" t="s">
        <v>60</v>
      </c>
      <c r="H9" s="49" t="s">
        <v>32</v>
      </c>
      <c r="I9" s="52">
        <v>500</v>
      </c>
      <c r="J9" s="53">
        <v>10</v>
      </c>
      <c r="K9" s="50">
        <f>listeAchats[[#This Row],[Coût d''achat]]*listeAchats[[#This Row],[Quantité]]</f>
        <v>5000</v>
      </c>
      <c r="L9" s="9"/>
    </row>
    <row r="10" spans="1:16" ht="18" customHeight="1" x14ac:dyDescent="0.3">
      <c r="A10" s="6"/>
      <c r="B10" s="9"/>
      <c r="C10" s="51">
        <f t="shared" si="0"/>
        <v>54</v>
      </c>
      <c r="D10" s="54">
        <v>44656</v>
      </c>
      <c r="E10" s="49" t="s">
        <v>41</v>
      </c>
      <c r="F10" s="49" t="s">
        <v>61</v>
      </c>
      <c r="G10" s="49" t="s">
        <v>60</v>
      </c>
      <c r="H10" s="49" t="s">
        <v>32</v>
      </c>
      <c r="I10" s="52">
        <v>500</v>
      </c>
      <c r="J10" s="53">
        <v>10</v>
      </c>
      <c r="K10" s="50">
        <f>listeAchats[[#This Row],[Coût d''achat]]*listeAchats[[#This Row],[Quantité]]</f>
        <v>5000</v>
      </c>
      <c r="L10" s="9"/>
    </row>
    <row r="11" spans="1:16" ht="18" customHeight="1" x14ac:dyDescent="0.3">
      <c r="A11" s="6"/>
      <c r="B11" s="9"/>
      <c r="C11" s="51">
        <f t="shared" si="0"/>
        <v>53</v>
      </c>
      <c r="D11" s="54">
        <v>44623</v>
      </c>
      <c r="E11" s="49" t="s">
        <v>41</v>
      </c>
      <c r="F11" s="49" t="s">
        <v>61</v>
      </c>
      <c r="G11" s="49" t="s">
        <v>60</v>
      </c>
      <c r="H11" s="49" t="s">
        <v>32</v>
      </c>
      <c r="I11" s="52">
        <v>500</v>
      </c>
      <c r="J11" s="53">
        <v>10</v>
      </c>
      <c r="K11" s="50">
        <f>listeAchats[[#This Row],[Coût d''achat]]*listeAchats[[#This Row],[Quantité]]</f>
        <v>5000</v>
      </c>
      <c r="L11" s="9"/>
    </row>
    <row r="12" spans="1:16" ht="18" customHeight="1" x14ac:dyDescent="0.3">
      <c r="A12" s="6"/>
      <c r="B12" s="9"/>
      <c r="C12" s="51">
        <f t="shared" si="0"/>
        <v>52</v>
      </c>
      <c r="D12" s="54">
        <v>44595</v>
      </c>
      <c r="E12" s="49" t="s">
        <v>41</v>
      </c>
      <c r="F12" s="49" t="s">
        <v>61</v>
      </c>
      <c r="G12" s="49" t="s">
        <v>60</v>
      </c>
      <c r="H12" s="49" t="s">
        <v>32</v>
      </c>
      <c r="I12" s="52">
        <v>500</v>
      </c>
      <c r="J12" s="53">
        <v>10</v>
      </c>
      <c r="K12" s="50">
        <f>listeAchats[[#This Row],[Coût d''achat]]*listeAchats[[#This Row],[Quantité]]</f>
        <v>5000</v>
      </c>
      <c r="L12" s="9"/>
    </row>
    <row r="13" spans="1:16" ht="18" customHeight="1" x14ac:dyDescent="0.3">
      <c r="A13" s="6"/>
      <c r="B13" s="9"/>
      <c r="C13" s="51">
        <f t="shared" si="0"/>
        <v>51</v>
      </c>
      <c r="D13" s="54">
        <v>44581</v>
      </c>
      <c r="E13" s="49" t="s">
        <v>41</v>
      </c>
      <c r="F13" s="49" t="s">
        <v>61</v>
      </c>
      <c r="G13" s="49" t="s">
        <v>60</v>
      </c>
      <c r="H13" s="49" t="s">
        <v>32</v>
      </c>
      <c r="I13" s="52">
        <v>500</v>
      </c>
      <c r="J13" s="53">
        <v>20</v>
      </c>
      <c r="K13" s="50">
        <f>listeAchats[[#This Row],[Coût d''achat]]*listeAchats[[#This Row],[Quantité]]</f>
        <v>10000</v>
      </c>
      <c r="L13" s="9"/>
    </row>
    <row r="14" spans="1:16" ht="18" customHeight="1" x14ac:dyDescent="0.3">
      <c r="A14" s="6"/>
      <c r="B14" s="9"/>
      <c r="C14" s="51">
        <f t="shared" si="0"/>
        <v>50</v>
      </c>
      <c r="D14" s="54">
        <v>44685</v>
      </c>
      <c r="E14" s="49" t="s">
        <v>40</v>
      </c>
      <c r="F14" s="49" t="s">
        <v>62</v>
      </c>
      <c r="G14" s="49" t="s">
        <v>60</v>
      </c>
      <c r="H14" s="49" t="s">
        <v>32</v>
      </c>
      <c r="I14" s="52">
        <v>150</v>
      </c>
      <c r="J14" s="53">
        <v>5</v>
      </c>
      <c r="K14" s="50">
        <f>listeAchats[[#This Row],[Coût d''achat]]*listeAchats[[#This Row],[Quantité]]</f>
        <v>750</v>
      </c>
      <c r="L14" s="9"/>
    </row>
    <row r="15" spans="1:16" ht="18" customHeight="1" x14ac:dyDescent="0.3">
      <c r="A15" s="6"/>
      <c r="B15" s="9"/>
      <c r="C15" s="51">
        <f t="shared" si="0"/>
        <v>49</v>
      </c>
      <c r="D15" s="54">
        <v>44655</v>
      </c>
      <c r="E15" s="49" t="s">
        <v>40</v>
      </c>
      <c r="F15" s="49" t="s">
        <v>62</v>
      </c>
      <c r="G15" s="49" t="s">
        <v>60</v>
      </c>
      <c r="H15" s="49" t="s">
        <v>32</v>
      </c>
      <c r="I15" s="52">
        <v>150</v>
      </c>
      <c r="J15" s="53">
        <v>10</v>
      </c>
      <c r="K15" s="50">
        <f>listeAchats[[#This Row],[Coût d''achat]]*listeAchats[[#This Row],[Quantité]]</f>
        <v>1500</v>
      </c>
      <c r="L15" s="9"/>
    </row>
    <row r="16" spans="1:16" ht="18" customHeight="1" x14ac:dyDescent="0.3">
      <c r="A16" s="6"/>
      <c r="B16" s="9"/>
      <c r="C16" s="51">
        <f t="shared" si="0"/>
        <v>48</v>
      </c>
      <c r="D16" s="54">
        <v>44623</v>
      </c>
      <c r="E16" s="49" t="s">
        <v>40</v>
      </c>
      <c r="F16" s="49" t="s">
        <v>62</v>
      </c>
      <c r="G16" s="49" t="s">
        <v>60</v>
      </c>
      <c r="H16" s="49" t="s">
        <v>32</v>
      </c>
      <c r="I16" s="52">
        <v>150</v>
      </c>
      <c r="J16" s="53">
        <v>20</v>
      </c>
      <c r="K16" s="50">
        <f>listeAchats[[#This Row],[Coût d''achat]]*listeAchats[[#This Row],[Quantité]]</f>
        <v>3000</v>
      </c>
      <c r="L16" s="9"/>
    </row>
    <row r="17" spans="1:12" ht="18" customHeight="1" x14ac:dyDescent="0.3">
      <c r="A17" s="6"/>
      <c r="B17" s="9"/>
      <c r="C17" s="51">
        <f t="shared" si="0"/>
        <v>47</v>
      </c>
      <c r="D17" s="54">
        <v>44594</v>
      </c>
      <c r="E17" s="49" t="s">
        <v>40</v>
      </c>
      <c r="F17" s="49" t="s">
        <v>62</v>
      </c>
      <c r="G17" s="49" t="s">
        <v>60</v>
      </c>
      <c r="H17" s="49" t="s">
        <v>32</v>
      </c>
      <c r="I17" s="52">
        <v>150</v>
      </c>
      <c r="J17" s="53">
        <v>10</v>
      </c>
      <c r="K17" s="50">
        <f>listeAchats[[#This Row],[Coût d''achat]]*listeAchats[[#This Row],[Quantité]]</f>
        <v>1500</v>
      </c>
      <c r="L17" s="9"/>
    </row>
    <row r="18" spans="1:12" ht="18" customHeight="1" x14ac:dyDescent="0.3">
      <c r="A18" s="6"/>
      <c r="B18" s="9"/>
      <c r="C18" s="51">
        <f t="shared" si="0"/>
        <v>46</v>
      </c>
      <c r="D18" s="54">
        <v>44562</v>
      </c>
      <c r="E18" s="49" t="s">
        <v>40</v>
      </c>
      <c r="F18" s="49" t="s">
        <v>62</v>
      </c>
      <c r="G18" s="49" t="s">
        <v>60</v>
      </c>
      <c r="H18" s="49" t="s">
        <v>32</v>
      </c>
      <c r="I18" s="52">
        <v>150</v>
      </c>
      <c r="J18" s="53">
        <v>20</v>
      </c>
      <c r="K18" s="50">
        <f>listeAchats[[#This Row],[Coût d''achat]]*listeAchats[[#This Row],[Quantité]]</f>
        <v>3000</v>
      </c>
      <c r="L18" s="9"/>
    </row>
    <row r="19" spans="1:12" ht="18" customHeight="1" x14ac:dyDescent="0.3">
      <c r="A19" s="6"/>
      <c r="B19" s="9"/>
      <c r="C19" s="51">
        <f t="shared" si="0"/>
        <v>45</v>
      </c>
      <c r="D19" s="54">
        <v>44690</v>
      </c>
      <c r="E19" s="49" t="s">
        <v>39</v>
      </c>
      <c r="F19" s="49" t="s">
        <v>63</v>
      </c>
      <c r="G19" s="49" t="s">
        <v>60</v>
      </c>
      <c r="H19" s="49" t="s">
        <v>32</v>
      </c>
      <c r="I19" s="52">
        <v>300</v>
      </c>
      <c r="J19" s="53">
        <v>4</v>
      </c>
      <c r="K19" s="50">
        <f>listeAchats[[#This Row],[Coût d''achat]]*listeAchats[[#This Row],[Quantité]]</f>
        <v>1200</v>
      </c>
      <c r="L19" s="9"/>
    </row>
    <row r="20" spans="1:12" ht="18" customHeight="1" x14ac:dyDescent="0.3">
      <c r="A20" s="6"/>
      <c r="B20" s="9"/>
      <c r="C20" s="51">
        <f t="shared" si="0"/>
        <v>44</v>
      </c>
      <c r="D20" s="54">
        <v>44655</v>
      </c>
      <c r="E20" s="49" t="s">
        <v>39</v>
      </c>
      <c r="F20" s="49" t="s">
        <v>63</v>
      </c>
      <c r="G20" s="49" t="s">
        <v>60</v>
      </c>
      <c r="H20" s="49" t="s">
        <v>32</v>
      </c>
      <c r="I20" s="52">
        <v>300</v>
      </c>
      <c r="J20" s="53">
        <v>4</v>
      </c>
      <c r="K20" s="50">
        <f>listeAchats[[#This Row],[Coût d''achat]]*listeAchats[[#This Row],[Quantité]]</f>
        <v>1200</v>
      </c>
      <c r="L20" s="9"/>
    </row>
    <row r="21" spans="1:12" ht="18" customHeight="1" x14ac:dyDescent="0.3">
      <c r="A21" s="6"/>
      <c r="B21" s="9"/>
      <c r="C21" s="51">
        <f t="shared" si="0"/>
        <v>43</v>
      </c>
      <c r="D21" s="54">
        <v>44626</v>
      </c>
      <c r="E21" s="49" t="s">
        <v>39</v>
      </c>
      <c r="F21" s="49" t="s">
        <v>63</v>
      </c>
      <c r="G21" s="49" t="s">
        <v>60</v>
      </c>
      <c r="H21" s="49" t="s">
        <v>32</v>
      </c>
      <c r="I21" s="52">
        <v>300</v>
      </c>
      <c r="J21" s="53">
        <v>2</v>
      </c>
      <c r="K21" s="50">
        <f>listeAchats[[#This Row],[Coût d''achat]]*listeAchats[[#This Row],[Quantité]]</f>
        <v>600</v>
      </c>
      <c r="L21" s="9"/>
    </row>
    <row r="22" spans="1:12" ht="18" customHeight="1" x14ac:dyDescent="0.3">
      <c r="A22" s="6"/>
      <c r="B22" s="9"/>
      <c r="C22" s="51">
        <f t="shared" si="0"/>
        <v>42</v>
      </c>
      <c r="D22" s="54">
        <v>44607</v>
      </c>
      <c r="E22" s="49" t="s">
        <v>39</v>
      </c>
      <c r="F22" s="49" t="s">
        <v>63</v>
      </c>
      <c r="G22" s="49" t="s">
        <v>60</v>
      </c>
      <c r="H22" s="49" t="s">
        <v>32</v>
      </c>
      <c r="I22" s="52">
        <v>300</v>
      </c>
      <c r="J22" s="53">
        <v>10</v>
      </c>
      <c r="K22" s="50">
        <f>listeAchats[[#This Row],[Coût d''achat]]*listeAchats[[#This Row],[Quantité]]</f>
        <v>3000</v>
      </c>
      <c r="L22" s="9"/>
    </row>
    <row r="23" spans="1:12" ht="18" customHeight="1" x14ac:dyDescent="0.3">
      <c r="A23" s="6"/>
      <c r="B23" s="9"/>
      <c r="C23" s="51">
        <f t="shared" si="0"/>
        <v>41</v>
      </c>
      <c r="D23" s="54">
        <v>44577</v>
      </c>
      <c r="E23" s="49" t="s">
        <v>39</v>
      </c>
      <c r="F23" s="49" t="s">
        <v>63</v>
      </c>
      <c r="G23" s="49" t="s">
        <v>60</v>
      </c>
      <c r="H23" s="49" t="s">
        <v>32</v>
      </c>
      <c r="I23" s="52">
        <v>300</v>
      </c>
      <c r="J23" s="53">
        <v>20</v>
      </c>
      <c r="K23" s="50">
        <f>listeAchats[[#This Row],[Coût d''achat]]*listeAchats[[#This Row],[Quantité]]</f>
        <v>6000</v>
      </c>
      <c r="L23" s="9"/>
    </row>
    <row r="24" spans="1:12" ht="18" customHeight="1" x14ac:dyDescent="0.3">
      <c r="A24" s="6"/>
      <c r="B24" s="9"/>
      <c r="C24" s="51">
        <f t="shared" si="0"/>
        <v>40</v>
      </c>
      <c r="D24" s="54">
        <v>44687</v>
      </c>
      <c r="E24" s="49" t="s">
        <v>38</v>
      </c>
      <c r="F24" s="49" t="s">
        <v>64</v>
      </c>
      <c r="G24" s="49" t="s">
        <v>60</v>
      </c>
      <c r="H24" s="49" t="s">
        <v>32</v>
      </c>
      <c r="I24" s="52">
        <v>700</v>
      </c>
      <c r="J24" s="53">
        <v>6</v>
      </c>
      <c r="K24" s="50">
        <f>listeAchats[[#This Row],[Coût d''achat]]*listeAchats[[#This Row],[Quantité]]</f>
        <v>4200</v>
      </c>
      <c r="L24" s="9"/>
    </row>
    <row r="25" spans="1:12" ht="18" customHeight="1" x14ac:dyDescent="0.3">
      <c r="A25" s="6"/>
      <c r="B25" s="9"/>
      <c r="C25" s="51">
        <f t="shared" si="0"/>
        <v>39</v>
      </c>
      <c r="D25" s="54">
        <v>44657</v>
      </c>
      <c r="E25" s="49" t="s">
        <v>38</v>
      </c>
      <c r="F25" s="49" t="s">
        <v>64</v>
      </c>
      <c r="G25" s="49" t="s">
        <v>60</v>
      </c>
      <c r="H25" s="49" t="s">
        <v>32</v>
      </c>
      <c r="I25" s="52">
        <v>700</v>
      </c>
      <c r="J25" s="53">
        <v>2</v>
      </c>
      <c r="K25" s="50">
        <f>listeAchats[[#This Row],[Coût d''achat]]*listeAchats[[#This Row],[Quantité]]</f>
        <v>1400</v>
      </c>
      <c r="L25" s="9"/>
    </row>
    <row r="26" spans="1:12" ht="18" customHeight="1" x14ac:dyDescent="0.3">
      <c r="A26" s="6"/>
      <c r="B26" s="9"/>
      <c r="C26" s="51">
        <f t="shared" si="0"/>
        <v>38</v>
      </c>
      <c r="D26" s="54">
        <v>44623</v>
      </c>
      <c r="E26" s="49" t="s">
        <v>38</v>
      </c>
      <c r="F26" s="49" t="s">
        <v>64</v>
      </c>
      <c r="G26" s="49" t="s">
        <v>60</v>
      </c>
      <c r="H26" s="49" t="s">
        <v>32</v>
      </c>
      <c r="I26" s="52">
        <v>700</v>
      </c>
      <c r="J26" s="53">
        <v>4</v>
      </c>
      <c r="K26" s="50">
        <f>listeAchats[[#This Row],[Coût d''achat]]*listeAchats[[#This Row],[Quantité]]</f>
        <v>2800</v>
      </c>
      <c r="L26" s="9"/>
    </row>
    <row r="27" spans="1:12" ht="18" customHeight="1" x14ac:dyDescent="0.3">
      <c r="A27" s="6"/>
      <c r="B27" s="9"/>
      <c r="C27" s="51">
        <f t="shared" si="0"/>
        <v>37</v>
      </c>
      <c r="D27" s="54">
        <v>44595</v>
      </c>
      <c r="E27" s="49" t="s">
        <v>38</v>
      </c>
      <c r="F27" s="49" t="s">
        <v>64</v>
      </c>
      <c r="G27" s="49" t="s">
        <v>60</v>
      </c>
      <c r="H27" s="49" t="s">
        <v>32</v>
      </c>
      <c r="I27" s="52">
        <v>700</v>
      </c>
      <c r="J27" s="53">
        <v>3</v>
      </c>
      <c r="K27" s="50">
        <f>listeAchats[[#This Row],[Coût d''achat]]*listeAchats[[#This Row],[Quantité]]</f>
        <v>2100</v>
      </c>
      <c r="L27" s="9"/>
    </row>
    <row r="28" spans="1:12" ht="18" customHeight="1" x14ac:dyDescent="0.3">
      <c r="A28" s="6"/>
      <c r="B28" s="9"/>
      <c r="C28" s="51">
        <f t="shared" si="0"/>
        <v>36</v>
      </c>
      <c r="D28" s="54">
        <v>44583</v>
      </c>
      <c r="E28" s="49" t="s">
        <v>38</v>
      </c>
      <c r="F28" s="49" t="s">
        <v>64</v>
      </c>
      <c r="G28" s="49" t="s">
        <v>60</v>
      </c>
      <c r="H28" s="49" t="s">
        <v>32</v>
      </c>
      <c r="I28" s="52">
        <v>700</v>
      </c>
      <c r="J28" s="53">
        <v>4</v>
      </c>
      <c r="K28" s="50">
        <f>listeAchats[[#This Row],[Coût d''achat]]*listeAchats[[#This Row],[Quantité]]</f>
        <v>2800</v>
      </c>
      <c r="L28" s="9"/>
    </row>
    <row r="29" spans="1:12" ht="18" customHeight="1" x14ac:dyDescent="0.3">
      <c r="A29" s="6"/>
      <c r="B29" s="9"/>
      <c r="C29" s="51">
        <f t="shared" si="0"/>
        <v>35</v>
      </c>
      <c r="D29" s="54">
        <v>44703</v>
      </c>
      <c r="E29" s="49" t="s">
        <v>36</v>
      </c>
      <c r="F29" s="49" t="s">
        <v>50</v>
      </c>
      <c r="G29" s="49" t="s">
        <v>59</v>
      </c>
      <c r="H29" s="49" t="s">
        <v>32</v>
      </c>
      <c r="I29" s="52">
        <v>405</v>
      </c>
      <c r="J29" s="53">
        <v>5</v>
      </c>
      <c r="K29" s="50">
        <f>listeAchats[[#This Row],[Coût d''achat]]*listeAchats[[#This Row],[Quantité]]</f>
        <v>2025</v>
      </c>
      <c r="L29" s="9"/>
    </row>
    <row r="30" spans="1:12" ht="18" customHeight="1" x14ac:dyDescent="0.3">
      <c r="A30" s="6"/>
      <c r="B30" s="9"/>
      <c r="C30" s="51">
        <f t="shared" si="0"/>
        <v>34</v>
      </c>
      <c r="D30" s="54">
        <v>44656</v>
      </c>
      <c r="E30" s="49" t="s">
        <v>36</v>
      </c>
      <c r="F30" s="49" t="s">
        <v>50</v>
      </c>
      <c r="G30" s="49" t="s">
        <v>59</v>
      </c>
      <c r="H30" s="49" t="s">
        <v>32</v>
      </c>
      <c r="I30" s="52">
        <v>410</v>
      </c>
      <c r="J30" s="53">
        <v>10</v>
      </c>
      <c r="K30" s="50">
        <f>listeAchats[[#This Row],[Coût d''achat]]*listeAchats[[#This Row],[Quantité]]</f>
        <v>4100</v>
      </c>
      <c r="L30" s="9"/>
    </row>
    <row r="31" spans="1:12" ht="18" customHeight="1" x14ac:dyDescent="0.3">
      <c r="A31" s="6"/>
      <c r="B31" s="9"/>
      <c r="C31" s="51">
        <f t="shared" si="0"/>
        <v>33</v>
      </c>
      <c r="D31" s="54">
        <v>44625</v>
      </c>
      <c r="E31" s="49" t="s">
        <v>36</v>
      </c>
      <c r="F31" s="49" t="s">
        <v>50</v>
      </c>
      <c r="G31" s="49" t="s">
        <v>59</v>
      </c>
      <c r="H31" s="49" t="s">
        <v>32</v>
      </c>
      <c r="I31" s="52">
        <v>420</v>
      </c>
      <c r="J31" s="53">
        <v>10</v>
      </c>
      <c r="K31" s="50">
        <f>listeAchats[[#This Row],[Coût d''achat]]*listeAchats[[#This Row],[Quantité]]</f>
        <v>4200</v>
      </c>
      <c r="L31" s="9"/>
    </row>
    <row r="32" spans="1:12" ht="18" customHeight="1" x14ac:dyDescent="0.3">
      <c r="A32" s="6"/>
      <c r="B32" s="9"/>
      <c r="C32" s="51">
        <f t="shared" si="0"/>
        <v>32</v>
      </c>
      <c r="D32" s="54">
        <v>44602</v>
      </c>
      <c r="E32" s="49" t="s">
        <v>36</v>
      </c>
      <c r="F32" s="49" t="s">
        <v>50</v>
      </c>
      <c r="G32" s="49" t="s">
        <v>59</v>
      </c>
      <c r="H32" s="49" t="s">
        <v>32</v>
      </c>
      <c r="I32" s="52">
        <v>400</v>
      </c>
      <c r="J32" s="53">
        <v>10</v>
      </c>
      <c r="K32" s="50">
        <f>listeAchats[[#This Row],[Coût d''achat]]*listeAchats[[#This Row],[Quantité]]</f>
        <v>4000</v>
      </c>
      <c r="L32" s="9"/>
    </row>
    <row r="33" spans="1:12" ht="18" customHeight="1" x14ac:dyDescent="0.3">
      <c r="A33" s="6"/>
      <c r="B33" s="9"/>
      <c r="C33" s="51">
        <f t="shared" si="0"/>
        <v>31</v>
      </c>
      <c r="D33" s="54">
        <v>44563</v>
      </c>
      <c r="E33" s="49" t="s">
        <v>36</v>
      </c>
      <c r="F33" s="49" t="s">
        <v>50</v>
      </c>
      <c r="G33" s="49" t="s">
        <v>59</v>
      </c>
      <c r="H33" s="49" t="s">
        <v>32</v>
      </c>
      <c r="I33" s="52">
        <v>400</v>
      </c>
      <c r="J33" s="53">
        <v>5</v>
      </c>
      <c r="K33" s="50">
        <f>listeAchats[[#This Row],[Coût d''achat]]*listeAchats[[#This Row],[Quantité]]</f>
        <v>2000</v>
      </c>
      <c r="L33" s="9"/>
    </row>
    <row r="34" spans="1:12" ht="18" customHeight="1" x14ac:dyDescent="0.3">
      <c r="A34" s="6"/>
      <c r="B34" s="9"/>
      <c r="C34" s="51">
        <f t="shared" si="0"/>
        <v>30</v>
      </c>
      <c r="D34" s="54">
        <v>44689</v>
      </c>
      <c r="E34" s="49" t="s">
        <v>35</v>
      </c>
      <c r="F34" s="49" t="s">
        <v>49</v>
      </c>
      <c r="G34" s="49" t="s">
        <v>59</v>
      </c>
      <c r="H34" s="49" t="s">
        <v>32</v>
      </c>
      <c r="I34" s="52">
        <v>760</v>
      </c>
      <c r="J34" s="53">
        <v>20</v>
      </c>
      <c r="K34" s="50">
        <f>listeAchats[[#This Row],[Coût d''achat]]*listeAchats[[#This Row],[Quantité]]</f>
        <v>15200</v>
      </c>
      <c r="L34" s="9"/>
    </row>
    <row r="35" spans="1:12" ht="18" customHeight="1" x14ac:dyDescent="0.3">
      <c r="A35" s="6"/>
      <c r="B35" s="9"/>
      <c r="C35" s="51">
        <f t="shared" si="0"/>
        <v>29</v>
      </c>
      <c r="D35" s="54">
        <v>44656</v>
      </c>
      <c r="E35" s="49" t="s">
        <v>35</v>
      </c>
      <c r="F35" s="49" t="s">
        <v>49</v>
      </c>
      <c r="G35" s="49" t="s">
        <v>59</v>
      </c>
      <c r="H35" s="49" t="s">
        <v>32</v>
      </c>
      <c r="I35" s="52">
        <v>750</v>
      </c>
      <c r="J35" s="53">
        <v>5</v>
      </c>
      <c r="K35" s="50">
        <f>listeAchats[[#This Row],[Coût d''achat]]*listeAchats[[#This Row],[Quantité]]</f>
        <v>3750</v>
      </c>
      <c r="L35" s="9"/>
    </row>
    <row r="36" spans="1:12" ht="18" customHeight="1" x14ac:dyDescent="0.3">
      <c r="A36" s="6"/>
      <c r="B36" s="9"/>
      <c r="C36" s="51">
        <f t="shared" si="0"/>
        <v>28</v>
      </c>
      <c r="D36" s="54">
        <v>44623</v>
      </c>
      <c r="E36" s="49" t="s">
        <v>35</v>
      </c>
      <c r="F36" s="49" t="s">
        <v>49</v>
      </c>
      <c r="G36" s="49" t="s">
        <v>59</v>
      </c>
      <c r="H36" s="49" t="s">
        <v>32</v>
      </c>
      <c r="I36" s="52">
        <v>745</v>
      </c>
      <c r="J36" s="53">
        <v>10</v>
      </c>
      <c r="K36" s="50">
        <f>listeAchats[[#This Row],[Coût d''achat]]*listeAchats[[#This Row],[Quantité]]</f>
        <v>7450</v>
      </c>
      <c r="L36" s="9"/>
    </row>
    <row r="37" spans="1:12" ht="18" customHeight="1" x14ac:dyDescent="0.3">
      <c r="A37" s="6"/>
      <c r="B37" s="9"/>
      <c r="C37" s="51">
        <f t="shared" si="0"/>
        <v>27</v>
      </c>
      <c r="D37" s="54">
        <v>44618</v>
      </c>
      <c r="E37" s="49" t="s">
        <v>35</v>
      </c>
      <c r="F37" s="49" t="s">
        <v>49</v>
      </c>
      <c r="G37" s="49" t="s">
        <v>59</v>
      </c>
      <c r="H37" s="49" t="s">
        <v>32</v>
      </c>
      <c r="I37" s="52">
        <v>750</v>
      </c>
      <c r="J37" s="53">
        <v>10</v>
      </c>
      <c r="K37" s="50">
        <f>listeAchats[[#This Row],[Coût d''achat]]*listeAchats[[#This Row],[Quantité]]</f>
        <v>7500</v>
      </c>
      <c r="L37" s="9"/>
    </row>
    <row r="38" spans="1:12" ht="18" customHeight="1" x14ac:dyDescent="0.3">
      <c r="A38" s="6"/>
      <c r="B38" s="9"/>
      <c r="C38" s="51">
        <f t="shared" si="0"/>
        <v>26</v>
      </c>
      <c r="D38" s="54">
        <v>44563</v>
      </c>
      <c r="E38" s="49" t="s">
        <v>35</v>
      </c>
      <c r="F38" s="49" t="s">
        <v>49</v>
      </c>
      <c r="G38" s="49" t="s">
        <v>59</v>
      </c>
      <c r="H38" s="49" t="s">
        <v>32</v>
      </c>
      <c r="I38" s="52">
        <v>740</v>
      </c>
      <c r="J38" s="53">
        <v>5</v>
      </c>
      <c r="K38" s="50">
        <f>listeAchats[[#This Row],[Coût d''achat]]*listeAchats[[#This Row],[Quantité]]</f>
        <v>3700</v>
      </c>
      <c r="L38" s="9"/>
    </row>
    <row r="39" spans="1:12" ht="18" customHeight="1" x14ac:dyDescent="0.3">
      <c r="A39" s="6"/>
      <c r="B39" s="9"/>
      <c r="C39" s="51">
        <f t="shared" si="0"/>
        <v>25</v>
      </c>
      <c r="D39" s="54">
        <v>44683</v>
      </c>
      <c r="E39" s="49" t="s">
        <v>53</v>
      </c>
      <c r="F39" s="49" t="s">
        <v>66</v>
      </c>
      <c r="G39" s="49" t="s">
        <v>58</v>
      </c>
      <c r="H39" s="49" t="s">
        <v>32</v>
      </c>
      <c r="I39" s="52">
        <v>1400</v>
      </c>
      <c r="J39" s="53">
        <v>30</v>
      </c>
      <c r="K39" s="50">
        <f>listeAchats[[#This Row],[Coût d''achat]]*listeAchats[[#This Row],[Quantité]]</f>
        <v>42000</v>
      </c>
      <c r="L39" s="9"/>
    </row>
    <row r="40" spans="1:12" ht="18" customHeight="1" x14ac:dyDescent="0.3">
      <c r="A40" s="6"/>
      <c r="B40" s="9"/>
      <c r="C40" s="51">
        <f t="shared" si="0"/>
        <v>24</v>
      </c>
      <c r="D40" s="54">
        <v>44676</v>
      </c>
      <c r="E40" s="49" t="s">
        <v>53</v>
      </c>
      <c r="F40" s="49" t="s">
        <v>66</v>
      </c>
      <c r="G40" s="49" t="s">
        <v>58</v>
      </c>
      <c r="H40" s="49" t="s">
        <v>32</v>
      </c>
      <c r="I40" s="52">
        <v>1400</v>
      </c>
      <c r="J40" s="53">
        <v>20</v>
      </c>
      <c r="K40" s="50">
        <f>listeAchats[[#This Row],[Coût d''achat]]*listeAchats[[#This Row],[Quantité]]</f>
        <v>28000</v>
      </c>
      <c r="L40" s="9"/>
    </row>
    <row r="41" spans="1:12" ht="18" customHeight="1" x14ac:dyDescent="0.3">
      <c r="A41" s="6"/>
      <c r="B41" s="9"/>
      <c r="C41" s="51">
        <f t="shared" ref="C41:C61" si="1">C42+1</f>
        <v>23</v>
      </c>
      <c r="D41" s="54">
        <v>44646</v>
      </c>
      <c r="E41" s="49" t="s">
        <v>53</v>
      </c>
      <c r="F41" s="49" t="s">
        <v>66</v>
      </c>
      <c r="G41" s="49" t="s">
        <v>58</v>
      </c>
      <c r="H41" s="49" t="s">
        <v>32</v>
      </c>
      <c r="I41" s="52">
        <v>1400</v>
      </c>
      <c r="J41" s="53">
        <v>10</v>
      </c>
      <c r="K41" s="50">
        <f>listeAchats[[#This Row],[Coût d''achat]]*listeAchats[[#This Row],[Quantité]]</f>
        <v>14000</v>
      </c>
      <c r="L41" s="9"/>
    </row>
    <row r="42" spans="1:12" ht="18" customHeight="1" x14ac:dyDescent="0.3">
      <c r="A42" s="6"/>
      <c r="B42" s="9"/>
      <c r="C42" s="51">
        <f t="shared" si="1"/>
        <v>22</v>
      </c>
      <c r="D42" s="54">
        <v>44594</v>
      </c>
      <c r="E42" s="49" t="s">
        <v>53</v>
      </c>
      <c r="F42" s="49" t="s">
        <v>66</v>
      </c>
      <c r="G42" s="49" t="s">
        <v>58</v>
      </c>
      <c r="H42" s="49" t="s">
        <v>32</v>
      </c>
      <c r="I42" s="52">
        <v>1400</v>
      </c>
      <c r="J42" s="53">
        <v>6</v>
      </c>
      <c r="K42" s="50">
        <f>listeAchats[[#This Row],[Coût d''achat]]*listeAchats[[#This Row],[Quantité]]</f>
        <v>8400</v>
      </c>
      <c r="L42" s="9"/>
    </row>
    <row r="43" spans="1:12" ht="18" customHeight="1" x14ac:dyDescent="0.3">
      <c r="A43" s="6"/>
      <c r="B43" s="9"/>
      <c r="C43" s="51">
        <f t="shared" si="1"/>
        <v>21</v>
      </c>
      <c r="D43" s="54">
        <v>44593</v>
      </c>
      <c r="E43" s="49" t="s">
        <v>53</v>
      </c>
      <c r="F43" s="49" t="s">
        <v>66</v>
      </c>
      <c r="G43" s="49" t="s">
        <v>58</v>
      </c>
      <c r="H43" s="49" t="s">
        <v>32</v>
      </c>
      <c r="I43" s="52">
        <v>1400</v>
      </c>
      <c r="J43" s="53">
        <v>30</v>
      </c>
      <c r="K43" s="50">
        <f>listeAchats[[#This Row],[Coût d''achat]]*listeAchats[[#This Row],[Quantité]]</f>
        <v>42000</v>
      </c>
      <c r="L43" s="9"/>
    </row>
    <row r="44" spans="1:12" ht="18" customHeight="1" x14ac:dyDescent="0.3">
      <c r="A44" s="6"/>
      <c r="B44" s="9"/>
      <c r="C44" s="51">
        <f t="shared" si="1"/>
        <v>20</v>
      </c>
      <c r="D44" s="54">
        <v>44689</v>
      </c>
      <c r="E44" s="49" t="s">
        <v>52</v>
      </c>
      <c r="F44" s="49" t="s">
        <v>51</v>
      </c>
      <c r="G44" s="49" t="s">
        <v>58</v>
      </c>
      <c r="H44" s="49" t="s">
        <v>32</v>
      </c>
      <c r="I44" s="52">
        <v>620</v>
      </c>
      <c r="J44" s="53">
        <v>3</v>
      </c>
      <c r="K44" s="50">
        <f>listeAchats[[#This Row],[Coût d''achat]]*listeAchats[[#This Row],[Quantité]]</f>
        <v>1860</v>
      </c>
      <c r="L44" s="9"/>
    </row>
    <row r="45" spans="1:12" ht="18" customHeight="1" x14ac:dyDescent="0.3">
      <c r="A45" s="6"/>
      <c r="B45" s="9"/>
      <c r="C45" s="51">
        <f t="shared" si="1"/>
        <v>19</v>
      </c>
      <c r="D45" s="54">
        <v>44656</v>
      </c>
      <c r="E45" s="49" t="s">
        <v>52</v>
      </c>
      <c r="F45" s="49" t="s">
        <v>51</v>
      </c>
      <c r="G45" s="49" t="s">
        <v>58</v>
      </c>
      <c r="H45" s="49" t="s">
        <v>32</v>
      </c>
      <c r="I45" s="52">
        <v>600</v>
      </c>
      <c r="J45" s="53">
        <v>5</v>
      </c>
      <c r="K45" s="50">
        <f>listeAchats[[#This Row],[Coût d''achat]]*listeAchats[[#This Row],[Quantité]]</f>
        <v>3000</v>
      </c>
      <c r="L45" s="9"/>
    </row>
    <row r="46" spans="1:12" ht="18" customHeight="1" x14ac:dyDescent="0.3">
      <c r="A46" s="6"/>
      <c r="B46" s="9"/>
      <c r="C46" s="51">
        <f t="shared" si="1"/>
        <v>18</v>
      </c>
      <c r="D46" s="54">
        <v>44623</v>
      </c>
      <c r="E46" s="49" t="s">
        <v>52</v>
      </c>
      <c r="F46" s="49" t="s">
        <v>51</v>
      </c>
      <c r="G46" s="49" t="s">
        <v>58</v>
      </c>
      <c r="H46" s="49" t="s">
        <v>32</v>
      </c>
      <c r="I46" s="52">
        <v>550</v>
      </c>
      <c r="J46" s="53">
        <v>2</v>
      </c>
      <c r="K46" s="50">
        <f>listeAchats[[#This Row],[Coût d''achat]]*listeAchats[[#This Row],[Quantité]]</f>
        <v>1100</v>
      </c>
      <c r="L46" s="9"/>
    </row>
    <row r="47" spans="1:12" ht="18" customHeight="1" x14ac:dyDescent="0.3">
      <c r="A47" s="6"/>
      <c r="B47" s="9"/>
      <c r="C47" s="51">
        <f t="shared" si="1"/>
        <v>17</v>
      </c>
      <c r="D47" s="54">
        <v>44597</v>
      </c>
      <c r="E47" s="49" t="s">
        <v>52</v>
      </c>
      <c r="F47" s="49" t="s">
        <v>51</v>
      </c>
      <c r="G47" s="49" t="s">
        <v>58</v>
      </c>
      <c r="H47" s="49" t="s">
        <v>32</v>
      </c>
      <c r="I47" s="52">
        <v>600</v>
      </c>
      <c r="J47" s="53">
        <v>5</v>
      </c>
      <c r="K47" s="50">
        <f>listeAchats[[#This Row],[Coût d''achat]]*listeAchats[[#This Row],[Quantité]]</f>
        <v>3000</v>
      </c>
      <c r="L47" s="9"/>
    </row>
    <row r="48" spans="1:12" ht="18" customHeight="1" x14ac:dyDescent="0.3">
      <c r="A48" s="6"/>
      <c r="B48" s="9"/>
      <c r="C48" s="51">
        <f t="shared" si="1"/>
        <v>16</v>
      </c>
      <c r="D48" s="54">
        <v>44581</v>
      </c>
      <c r="E48" s="49" t="s">
        <v>52</v>
      </c>
      <c r="F48" s="49" t="s">
        <v>51</v>
      </c>
      <c r="G48" s="49" t="s">
        <v>58</v>
      </c>
      <c r="H48" s="49" t="s">
        <v>32</v>
      </c>
      <c r="I48" s="52">
        <v>600</v>
      </c>
      <c r="J48" s="53">
        <v>40</v>
      </c>
      <c r="K48" s="50">
        <f>listeAchats[[#This Row],[Coût d''achat]]*listeAchats[[#This Row],[Quantité]]</f>
        <v>24000</v>
      </c>
      <c r="L48" s="9"/>
    </row>
    <row r="49" spans="1:12" ht="18" customHeight="1" x14ac:dyDescent="0.3">
      <c r="A49" s="6"/>
      <c r="B49" s="9"/>
      <c r="C49" s="51">
        <f t="shared" si="1"/>
        <v>15</v>
      </c>
      <c r="D49" s="54">
        <v>44689</v>
      </c>
      <c r="E49" s="49" t="s">
        <v>56</v>
      </c>
      <c r="F49" s="49" t="s">
        <v>18</v>
      </c>
      <c r="G49" s="49" t="s">
        <v>19</v>
      </c>
      <c r="H49" s="49" t="s">
        <v>22</v>
      </c>
      <c r="I49" s="52">
        <v>4</v>
      </c>
      <c r="J49" s="53">
        <v>250</v>
      </c>
      <c r="K49" s="50">
        <f>listeAchats[[#This Row],[Coût d''achat]]*listeAchats[[#This Row],[Quantité]]</f>
        <v>1000</v>
      </c>
      <c r="L49" s="9"/>
    </row>
    <row r="50" spans="1:12" ht="18" customHeight="1" x14ac:dyDescent="0.3">
      <c r="A50" s="6"/>
      <c r="B50" s="9"/>
      <c r="C50" s="51">
        <f t="shared" si="1"/>
        <v>14</v>
      </c>
      <c r="D50" s="54">
        <v>44676</v>
      </c>
      <c r="E50" s="49" t="s">
        <v>56</v>
      </c>
      <c r="F50" s="49" t="s">
        <v>18</v>
      </c>
      <c r="G50" s="49" t="s">
        <v>19</v>
      </c>
      <c r="H50" s="49" t="s">
        <v>22</v>
      </c>
      <c r="I50" s="52">
        <v>4</v>
      </c>
      <c r="J50" s="53">
        <v>30</v>
      </c>
      <c r="K50" s="50">
        <f>listeAchats[[#This Row],[Coût d''achat]]*listeAchats[[#This Row],[Quantité]]</f>
        <v>120</v>
      </c>
      <c r="L50" s="9"/>
    </row>
    <row r="51" spans="1:12" ht="18" customHeight="1" x14ac:dyDescent="0.3">
      <c r="A51" s="6"/>
      <c r="B51" s="9"/>
      <c r="C51" s="51">
        <f t="shared" si="1"/>
        <v>13</v>
      </c>
      <c r="D51" s="54">
        <v>44640</v>
      </c>
      <c r="E51" s="49" t="s">
        <v>56</v>
      </c>
      <c r="F51" s="49" t="s">
        <v>18</v>
      </c>
      <c r="G51" s="49" t="s">
        <v>19</v>
      </c>
      <c r="H51" s="49" t="s">
        <v>22</v>
      </c>
      <c r="I51" s="52">
        <v>4</v>
      </c>
      <c r="J51" s="53">
        <v>20</v>
      </c>
      <c r="K51" s="50">
        <f>listeAchats[[#This Row],[Coût d''achat]]*listeAchats[[#This Row],[Quantité]]</f>
        <v>80</v>
      </c>
      <c r="L51" s="9"/>
    </row>
    <row r="52" spans="1:12" ht="18" customHeight="1" x14ac:dyDescent="0.3">
      <c r="A52" s="6"/>
      <c r="B52" s="9"/>
      <c r="C52" s="51">
        <f t="shared" si="1"/>
        <v>12</v>
      </c>
      <c r="D52" s="54">
        <v>44597</v>
      </c>
      <c r="E52" s="49" t="s">
        <v>56</v>
      </c>
      <c r="F52" s="49" t="s">
        <v>18</v>
      </c>
      <c r="G52" s="49" t="s">
        <v>19</v>
      </c>
      <c r="H52" s="49" t="s">
        <v>22</v>
      </c>
      <c r="I52" s="52">
        <v>4</v>
      </c>
      <c r="J52" s="53">
        <v>10</v>
      </c>
      <c r="K52" s="50">
        <f>listeAchats[[#This Row],[Coût d''achat]]*listeAchats[[#This Row],[Quantité]]</f>
        <v>40</v>
      </c>
      <c r="L52" s="9"/>
    </row>
    <row r="53" spans="1:12" ht="18" customHeight="1" x14ac:dyDescent="0.3">
      <c r="A53" s="6"/>
      <c r="B53" s="9"/>
      <c r="C53" s="51">
        <f t="shared" si="1"/>
        <v>11</v>
      </c>
      <c r="D53" s="54">
        <v>44686</v>
      </c>
      <c r="E53" s="49" t="s">
        <v>55</v>
      </c>
      <c r="F53" s="49" t="s">
        <v>18</v>
      </c>
      <c r="G53" s="49" t="s">
        <v>19</v>
      </c>
      <c r="H53" s="49" t="s">
        <v>21</v>
      </c>
      <c r="I53" s="52">
        <v>2</v>
      </c>
      <c r="J53" s="53">
        <v>50</v>
      </c>
      <c r="K53" s="50">
        <f>listeAchats[[#This Row],[Coût d''achat]]*listeAchats[[#This Row],[Quantité]]</f>
        <v>100</v>
      </c>
      <c r="L53" s="9"/>
    </row>
    <row r="54" spans="1:12" ht="18" customHeight="1" x14ac:dyDescent="0.3">
      <c r="A54" s="6"/>
      <c r="B54" s="9"/>
      <c r="C54" s="51">
        <f t="shared" si="1"/>
        <v>10</v>
      </c>
      <c r="D54" s="54">
        <v>44656</v>
      </c>
      <c r="E54" s="49" t="s">
        <v>55</v>
      </c>
      <c r="F54" s="49" t="s">
        <v>18</v>
      </c>
      <c r="G54" s="49" t="s">
        <v>19</v>
      </c>
      <c r="H54" s="49" t="s">
        <v>21</v>
      </c>
      <c r="I54" s="52">
        <v>2</v>
      </c>
      <c r="J54" s="53">
        <v>5</v>
      </c>
      <c r="K54" s="50">
        <f>listeAchats[[#This Row],[Coût d''achat]]*listeAchats[[#This Row],[Quantité]]</f>
        <v>10</v>
      </c>
      <c r="L54" s="9"/>
    </row>
    <row r="55" spans="1:12" ht="18" customHeight="1" x14ac:dyDescent="0.3">
      <c r="A55" s="6"/>
      <c r="B55" s="9"/>
      <c r="C55" s="51">
        <f t="shared" si="1"/>
        <v>9</v>
      </c>
      <c r="D55" s="54">
        <v>44622</v>
      </c>
      <c r="E55" s="49" t="s">
        <v>55</v>
      </c>
      <c r="F55" s="49" t="s">
        <v>18</v>
      </c>
      <c r="G55" s="49" t="s">
        <v>19</v>
      </c>
      <c r="H55" s="49" t="s">
        <v>21</v>
      </c>
      <c r="I55" s="52">
        <v>2</v>
      </c>
      <c r="J55" s="53">
        <v>4</v>
      </c>
      <c r="K55" s="50">
        <f>listeAchats[[#This Row],[Coût d''achat]]*listeAchats[[#This Row],[Quantité]]</f>
        <v>8</v>
      </c>
      <c r="L55" s="9"/>
    </row>
    <row r="56" spans="1:12" ht="18" customHeight="1" x14ac:dyDescent="0.3">
      <c r="A56" s="6"/>
      <c r="B56" s="9"/>
      <c r="C56" s="51">
        <f t="shared" si="1"/>
        <v>8</v>
      </c>
      <c r="D56" s="54">
        <v>44617</v>
      </c>
      <c r="E56" s="49" t="s">
        <v>55</v>
      </c>
      <c r="F56" s="49" t="s">
        <v>18</v>
      </c>
      <c r="G56" s="49" t="s">
        <v>19</v>
      </c>
      <c r="H56" s="49" t="s">
        <v>21</v>
      </c>
      <c r="I56" s="52">
        <v>2</v>
      </c>
      <c r="J56" s="53">
        <v>60</v>
      </c>
      <c r="K56" s="50">
        <f>listeAchats[[#This Row],[Coût d''achat]]*listeAchats[[#This Row],[Quantité]]</f>
        <v>120</v>
      </c>
      <c r="L56" s="9"/>
    </row>
    <row r="57" spans="1:12" ht="18" customHeight="1" x14ac:dyDescent="0.3">
      <c r="A57" s="6"/>
      <c r="B57" s="9"/>
      <c r="C57" s="51">
        <f t="shared" si="1"/>
        <v>7</v>
      </c>
      <c r="D57" s="54">
        <v>44686</v>
      </c>
      <c r="E57" s="49" t="s">
        <v>54</v>
      </c>
      <c r="F57" s="49" t="s">
        <v>18</v>
      </c>
      <c r="G57" s="49" t="s">
        <v>19</v>
      </c>
      <c r="H57" s="49" t="s">
        <v>20</v>
      </c>
      <c r="I57" s="52">
        <v>0.24</v>
      </c>
      <c r="J57" s="53">
        <v>10</v>
      </c>
      <c r="K57" s="50">
        <f>listeAchats[[#This Row],[Coût d''achat]]*listeAchats[[#This Row],[Quantité]]</f>
        <v>2.4</v>
      </c>
      <c r="L57" s="9"/>
    </row>
    <row r="58" spans="1:12" ht="18" customHeight="1" x14ac:dyDescent="0.3">
      <c r="A58" s="6"/>
      <c r="B58" s="9"/>
      <c r="C58" s="51">
        <f t="shared" si="1"/>
        <v>6</v>
      </c>
      <c r="D58" s="54">
        <v>44654</v>
      </c>
      <c r="E58" s="49" t="s">
        <v>54</v>
      </c>
      <c r="F58" s="49" t="s">
        <v>18</v>
      </c>
      <c r="G58" s="49" t="s">
        <v>19</v>
      </c>
      <c r="H58" s="49" t="s">
        <v>20</v>
      </c>
      <c r="I58" s="52">
        <v>0.23</v>
      </c>
      <c r="J58" s="53">
        <v>5</v>
      </c>
      <c r="K58" s="50">
        <f>listeAchats[[#This Row],[Coût d''achat]]*listeAchats[[#This Row],[Quantité]]</f>
        <v>1.1500000000000001</v>
      </c>
      <c r="L58" s="9"/>
    </row>
    <row r="59" spans="1:12" ht="18" customHeight="1" x14ac:dyDescent="0.3">
      <c r="A59" s="6"/>
      <c r="B59" s="9"/>
      <c r="C59" s="51">
        <f t="shared" si="1"/>
        <v>5</v>
      </c>
      <c r="D59" s="54">
        <v>44640</v>
      </c>
      <c r="E59" s="49" t="s">
        <v>54</v>
      </c>
      <c r="F59" s="49" t="s">
        <v>18</v>
      </c>
      <c r="G59" s="49" t="s">
        <v>19</v>
      </c>
      <c r="H59" s="49" t="s">
        <v>20</v>
      </c>
      <c r="I59" s="52">
        <v>0.2</v>
      </c>
      <c r="J59" s="53">
        <v>50</v>
      </c>
      <c r="K59" s="50">
        <f>listeAchats[[#This Row],[Coût d''achat]]*listeAchats[[#This Row],[Quantité]]</f>
        <v>10</v>
      </c>
      <c r="L59" s="9"/>
    </row>
    <row r="60" spans="1:12" ht="18" customHeight="1" x14ac:dyDescent="0.3">
      <c r="A60" s="6"/>
      <c r="B60" s="9"/>
      <c r="C60" s="51">
        <f t="shared" si="1"/>
        <v>4</v>
      </c>
      <c r="D60" s="54">
        <v>44594</v>
      </c>
      <c r="E60" s="49" t="s">
        <v>54</v>
      </c>
      <c r="F60" s="49" t="s">
        <v>18</v>
      </c>
      <c r="G60" s="49" t="s">
        <v>19</v>
      </c>
      <c r="H60" s="49" t="s">
        <v>20</v>
      </c>
      <c r="I60" s="52">
        <v>0.22</v>
      </c>
      <c r="J60" s="53">
        <v>20</v>
      </c>
      <c r="K60" s="50">
        <f>listeAchats[[#This Row],[Coût d''achat]]*listeAchats[[#This Row],[Quantité]]</f>
        <v>4.4000000000000004</v>
      </c>
      <c r="L60" s="9"/>
    </row>
    <row r="61" spans="1:12" ht="18" customHeight="1" x14ac:dyDescent="0.3">
      <c r="A61" s="6"/>
      <c r="B61" s="9"/>
      <c r="C61" s="51">
        <f t="shared" si="1"/>
        <v>3</v>
      </c>
      <c r="D61" s="54">
        <v>44586</v>
      </c>
      <c r="E61" s="49" t="s">
        <v>54</v>
      </c>
      <c r="F61" s="49" t="s">
        <v>18</v>
      </c>
      <c r="G61" s="49" t="s">
        <v>19</v>
      </c>
      <c r="H61" s="49" t="s">
        <v>20</v>
      </c>
      <c r="I61" s="52">
        <v>0.2</v>
      </c>
      <c r="J61" s="53">
        <v>10</v>
      </c>
      <c r="K61" s="50">
        <f>listeAchats[[#This Row],[Coût d''achat]]*listeAchats[[#This Row],[Quantité]]</f>
        <v>2</v>
      </c>
      <c r="L61" s="9"/>
    </row>
    <row r="62" spans="1:12" ht="18" customHeight="1" x14ac:dyDescent="0.3">
      <c r="A62" s="6"/>
      <c r="B62" s="9"/>
      <c r="C62" s="15">
        <v>2</v>
      </c>
      <c r="D62" s="16">
        <v>44566</v>
      </c>
      <c r="E62" s="13" t="s">
        <v>55</v>
      </c>
      <c r="F62" s="13" t="s">
        <v>18</v>
      </c>
      <c r="G62" s="13" t="s">
        <v>19</v>
      </c>
      <c r="H62" s="13" t="s">
        <v>21</v>
      </c>
      <c r="I62" s="14">
        <v>2</v>
      </c>
      <c r="J62" s="39">
        <v>3</v>
      </c>
      <c r="K62" s="14">
        <f>listeAchats[[#This Row],[Coût d''achat]]*listeAchats[[#This Row],[Quantité]]</f>
        <v>6</v>
      </c>
      <c r="L62" s="9"/>
    </row>
    <row r="63" spans="1:12" ht="18" customHeight="1" x14ac:dyDescent="0.3">
      <c r="B63" s="9"/>
      <c r="C63" s="15">
        <v>1</v>
      </c>
      <c r="D63" s="16">
        <v>44563</v>
      </c>
      <c r="E63" s="13" t="s">
        <v>56</v>
      </c>
      <c r="F63" s="13" t="s">
        <v>18</v>
      </c>
      <c r="G63" s="13" t="s">
        <v>19</v>
      </c>
      <c r="H63" s="13" t="s">
        <v>22</v>
      </c>
      <c r="I63" s="14">
        <v>4</v>
      </c>
      <c r="J63" s="39">
        <v>10</v>
      </c>
      <c r="K63" s="14">
        <f>listeAchats[[#This Row],[Coût d''achat]]*listeAchats[[#This Row],[Quantité]]</f>
        <v>40</v>
      </c>
      <c r="L63" s="9"/>
    </row>
    <row r="64" spans="1:12" ht="18" customHeight="1" x14ac:dyDescent="0.3">
      <c r="B64" s="2"/>
      <c r="C64" s="2"/>
      <c r="D64" s="2"/>
      <c r="E64" s="2"/>
      <c r="F64" s="2"/>
      <c r="G64" s="2"/>
      <c r="H64" s="2"/>
      <c r="I64" s="2"/>
      <c r="J64" s="41"/>
      <c r="K64" s="2"/>
      <c r="L64" s="2"/>
    </row>
    <row r="65" spans="2:12" ht="18" customHeight="1" x14ac:dyDescent="0.3">
      <c r="B65" s="2"/>
      <c r="C65" s="2"/>
      <c r="D65" s="2"/>
      <c r="E65" s="2"/>
      <c r="F65" s="36"/>
      <c r="G65" s="2"/>
      <c r="H65" s="2"/>
      <c r="I65" s="2"/>
      <c r="J65" s="41"/>
      <c r="K65" s="2"/>
      <c r="L65" s="2"/>
    </row>
    <row r="66" spans="2:12" ht="18" customHeight="1" x14ac:dyDescent="0.3"/>
    <row r="67" spans="2:12" ht="19.95" customHeight="1" x14ac:dyDescent="0.3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1" xr:uid="{2DB9CBF5-089F-4564-B643-D23D426182B6}">
      <formula1>44561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F1206-68A9-4CBF-8A36-324E888FAAD7}">
  <sheetPr codeName="Feuil9"/>
  <dimension ref="A1:P70"/>
  <sheetViews>
    <sheetView zoomScale="115" zoomScaleNormal="115" workbookViewId="0">
      <selection activeCell="C7" sqref="C7"/>
    </sheetView>
  </sheetViews>
  <sheetFormatPr baseColWidth="10" defaultColWidth="8.88671875" defaultRowHeight="14.4" x14ac:dyDescent="0.3"/>
  <cols>
    <col min="1" max="1" width="8.109375" style="1" customWidth="1"/>
    <col min="2" max="2" width="8.77734375" style="1" customWidth="1"/>
    <col min="3" max="3" width="9.44140625" style="1" customWidth="1"/>
    <col min="4" max="4" width="12.6640625" style="1" customWidth="1"/>
    <col min="5" max="5" width="11.5546875" style="1" customWidth="1"/>
    <col min="6" max="6" width="28.21875" style="1" customWidth="1"/>
    <col min="7" max="7" width="19.88671875" style="1" customWidth="1"/>
    <col min="8" max="8" width="17.88671875" style="1" customWidth="1"/>
    <col min="9" max="9" width="13.77734375" style="1" customWidth="1"/>
    <col min="10" max="10" width="10.5546875" style="1" customWidth="1"/>
    <col min="11" max="11" width="21.33203125" style="1" customWidth="1"/>
    <col min="12" max="12" width="8.77734375" style="1" customWidth="1"/>
    <col min="13" max="24" width="12.77734375" style="1" customWidth="1"/>
    <col min="25" max="16384" width="8.88671875" style="1"/>
  </cols>
  <sheetData>
    <row r="1" spans="1:16" ht="22.2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3.8" customHeight="1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" customHeight="1" x14ac:dyDescent="0.35">
      <c r="A3" s="5"/>
      <c r="B3" s="9"/>
      <c r="C3" s="58" t="s">
        <v>45</v>
      </c>
      <c r="D3" s="58"/>
      <c r="E3" s="58"/>
      <c r="F3" s="58"/>
      <c r="G3" s="58"/>
      <c r="H3" s="58"/>
      <c r="I3" s="58"/>
      <c r="J3" s="58"/>
      <c r="K3" s="58"/>
      <c r="L3" s="3"/>
      <c r="M3" s="5"/>
      <c r="N3" s="5"/>
      <c r="O3" s="5"/>
      <c r="P3" s="5"/>
    </row>
    <row r="4" spans="1:16" ht="16.8" customHeight="1" x14ac:dyDescent="0.3">
      <c r="A4" s="5"/>
      <c r="B4" s="9"/>
      <c r="C4" s="57" t="s">
        <v>46</v>
      </c>
      <c r="D4" s="57"/>
      <c r="E4" s="57"/>
      <c r="F4" s="57"/>
      <c r="G4" s="57"/>
      <c r="H4" s="57"/>
      <c r="I4" s="57"/>
      <c r="J4" s="57"/>
      <c r="K4" s="12"/>
      <c r="L4" s="12"/>
      <c r="M4" s="5"/>
      <c r="N4" s="5"/>
      <c r="O4" s="5"/>
      <c r="P4" s="5"/>
    </row>
    <row r="5" spans="1:16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3"/>
    </row>
    <row r="6" spans="1:16" ht="18" customHeight="1" x14ac:dyDescent="0.3">
      <c r="A6" s="6"/>
      <c r="B6" s="9"/>
      <c r="C6" s="11" t="s">
        <v>7</v>
      </c>
      <c r="D6" s="11" t="s">
        <v>2</v>
      </c>
      <c r="E6" s="11" t="s">
        <v>14</v>
      </c>
      <c r="F6" s="11" t="s">
        <v>0</v>
      </c>
      <c r="G6" s="11" t="s">
        <v>15</v>
      </c>
      <c r="H6" s="11" t="s">
        <v>8</v>
      </c>
      <c r="I6" s="11" t="s">
        <v>5</v>
      </c>
      <c r="J6" s="11" t="s">
        <v>1</v>
      </c>
      <c r="K6" s="11" t="s">
        <v>6</v>
      </c>
      <c r="L6" s="9"/>
    </row>
    <row r="7" spans="1:16" ht="18" customHeight="1" x14ac:dyDescent="0.3">
      <c r="A7" s="6"/>
      <c r="B7" s="9"/>
      <c r="C7" s="15">
        <f>C8+1</f>
        <v>60</v>
      </c>
      <c r="D7" s="16">
        <v>44698</v>
      </c>
      <c r="E7" s="37" t="s">
        <v>55</v>
      </c>
      <c r="F7" s="37" t="s">
        <v>18</v>
      </c>
      <c r="G7" s="37" t="s">
        <v>19</v>
      </c>
      <c r="H7" s="37" t="s">
        <v>21</v>
      </c>
      <c r="I7" s="38">
        <v>2.5</v>
      </c>
      <c r="J7" s="39">
        <v>10</v>
      </c>
      <c r="K7" s="43">
        <f>listeVentes[[#This Row],[Prix de vente]]*listeVentes[[#This Row],[Quantité]]</f>
        <v>25</v>
      </c>
      <c r="L7" s="9"/>
    </row>
    <row r="8" spans="1:16" ht="18" customHeight="1" x14ac:dyDescent="0.3">
      <c r="A8" s="6"/>
      <c r="B8" s="9"/>
      <c r="C8" s="15">
        <f>C9+1</f>
        <v>59</v>
      </c>
      <c r="D8" s="16">
        <v>44698</v>
      </c>
      <c r="E8" s="37" t="s">
        <v>38</v>
      </c>
      <c r="F8" s="37" t="s">
        <v>64</v>
      </c>
      <c r="G8" s="37" t="s">
        <v>60</v>
      </c>
      <c r="H8" s="37" t="s">
        <v>32</v>
      </c>
      <c r="I8" s="38">
        <v>800</v>
      </c>
      <c r="J8" s="39">
        <v>3</v>
      </c>
      <c r="K8" s="43">
        <f>listeVentes[[#This Row],[Prix de vente]]*listeVentes[[#This Row],[Quantité]]</f>
        <v>2400</v>
      </c>
      <c r="L8" s="9"/>
    </row>
    <row r="9" spans="1:16" ht="18" customHeight="1" x14ac:dyDescent="0.3">
      <c r="A9" s="6"/>
      <c r="B9" s="9"/>
      <c r="C9" s="15">
        <f>C10+1</f>
        <v>58</v>
      </c>
      <c r="D9" s="16">
        <v>44670</v>
      </c>
      <c r="E9" s="37" t="s">
        <v>52</v>
      </c>
      <c r="F9" s="37" t="s">
        <v>51</v>
      </c>
      <c r="G9" s="37" t="s">
        <v>58</v>
      </c>
      <c r="H9" s="37" t="s">
        <v>32</v>
      </c>
      <c r="I9" s="38">
        <v>650</v>
      </c>
      <c r="J9" s="39">
        <v>2</v>
      </c>
      <c r="K9" s="43">
        <f>listeVentes[[#This Row],[Prix de vente]]*listeVentes[[#This Row],[Quantité]]</f>
        <v>1300</v>
      </c>
      <c r="L9" s="9"/>
    </row>
    <row r="10" spans="1:16" ht="18" customHeight="1" x14ac:dyDescent="0.3">
      <c r="A10" s="6"/>
      <c r="B10" s="9"/>
      <c r="C10" s="15">
        <f t="shared" ref="C10:C41" si="0">C11+1</f>
        <v>57</v>
      </c>
      <c r="D10" s="16">
        <v>44662</v>
      </c>
      <c r="E10" s="37" t="s">
        <v>54</v>
      </c>
      <c r="F10" s="37" t="s">
        <v>18</v>
      </c>
      <c r="G10" s="37" t="s">
        <v>19</v>
      </c>
      <c r="H10" s="37" t="s">
        <v>20</v>
      </c>
      <c r="I10" s="38">
        <v>0.2</v>
      </c>
      <c r="J10" s="39">
        <v>20</v>
      </c>
      <c r="K10" s="43">
        <f>listeVentes[[#This Row],[Prix de vente]]*listeVentes[[#This Row],[Quantité]]</f>
        <v>4</v>
      </c>
      <c r="L10" s="9"/>
    </row>
    <row r="11" spans="1:16" ht="18" customHeight="1" x14ac:dyDescent="0.3">
      <c r="A11" s="6"/>
      <c r="B11" s="9"/>
      <c r="C11" s="15">
        <f t="shared" si="0"/>
        <v>56</v>
      </c>
      <c r="D11" s="16">
        <v>44687</v>
      </c>
      <c r="E11" s="37" t="s">
        <v>41</v>
      </c>
      <c r="F11" s="37" t="s">
        <v>61</v>
      </c>
      <c r="G11" s="49" t="s">
        <v>60</v>
      </c>
      <c r="H11" s="37" t="s">
        <v>32</v>
      </c>
      <c r="I11" s="38">
        <v>600</v>
      </c>
      <c r="J11" s="39">
        <v>10</v>
      </c>
      <c r="K11" s="43">
        <f>listeVentes[[#This Row],[Prix de vente]]*listeVentes[[#This Row],[Quantité]]</f>
        <v>6000</v>
      </c>
      <c r="L11" s="9"/>
    </row>
    <row r="12" spans="1:16" ht="18" customHeight="1" x14ac:dyDescent="0.3">
      <c r="A12" s="6"/>
      <c r="B12" s="9"/>
      <c r="C12" s="15">
        <f t="shared" si="0"/>
        <v>55</v>
      </c>
      <c r="D12" s="16">
        <v>44655</v>
      </c>
      <c r="E12" s="37" t="s">
        <v>41</v>
      </c>
      <c r="F12" s="37" t="s">
        <v>61</v>
      </c>
      <c r="G12" s="49" t="s">
        <v>60</v>
      </c>
      <c r="H12" s="37" t="s">
        <v>32</v>
      </c>
      <c r="I12" s="38">
        <v>590</v>
      </c>
      <c r="J12" s="39">
        <v>20</v>
      </c>
      <c r="K12" s="43">
        <f>listeVentes[[#This Row],[Prix de vente]]*listeVentes[[#This Row],[Quantité]]</f>
        <v>11800</v>
      </c>
      <c r="L12" s="9"/>
    </row>
    <row r="13" spans="1:16" ht="18" customHeight="1" x14ac:dyDescent="0.3">
      <c r="A13" s="6"/>
      <c r="B13" s="9"/>
      <c r="C13" s="15">
        <f t="shared" si="0"/>
        <v>54</v>
      </c>
      <c r="D13" s="16">
        <v>44623</v>
      </c>
      <c r="E13" s="37" t="s">
        <v>41</v>
      </c>
      <c r="F13" s="37" t="s">
        <v>61</v>
      </c>
      <c r="G13" s="49" t="s">
        <v>60</v>
      </c>
      <c r="H13" s="37" t="s">
        <v>32</v>
      </c>
      <c r="I13" s="38">
        <v>580</v>
      </c>
      <c r="J13" s="39">
        <v>20</v>
      </c>
      <c r="K13" s="43">
        <f>listeVentes[[#This Row],[Prix de vente]]*listeVentes[[#This Row],[Quantité]]</f>
        <v>11600</v>
      </c>
      <c r="L13" s="9"/>
    </row>
    <row r="14" spans="1:16" ht="18" customHeight="1" x14ac:dyDescent="0.3">
      <c r="A14" s="6"/>
      <c r="B14" s="9"/>
      <c r="C14" s="15">
        <f t="shared" si="0"/>
        <v>53</v>
      </c>
      <c r="D14" s="16">
        <v>44598</v>
      </c>
      <c r="E14" s="37" t="s">
        <v>41</v>
      </c>
      <c r="F14" s="37" t="s">
        <v>61</v>
      </c>
      <c r="G14" s="49" t="s">
        <v>60</v>
      </c>
      <c r="H14" s="37" t="s">
        <v>32</v>
      </c>
      <c r="I14" s="38">
        <v>600</v>
      </c>
      <c r="J14" s="39">
        <v>5</v>
      </c>
      <c r="K14" s="43">
        <f>listeVentes[[#This Row],[Prix de vente]]*listeVentes[[#This Row],[Quantité]]</f>
        <v>3000</v>
      </c>
      <c r="L14" s="9"/>
    </row>
    <row r="15" spans="1:16" ht="18" customHeight="1" x14ac:dyDescent="0.3">
      <c r="A15" s="6"/>
      <c r="B15" s="9"/>
      <c r="C15" s="15">
        <f t="shared" si="0"/>
        <v>52</v>
      </c>
      <c r="D15" s="16">
        <v>44562</v>
      </c>
      <c r="E15" s="37" t="s">
        <v>41</v>
      </c>
      <c r="F15" s="37" t="s">
        <v>61</v>
      </c>
      <c r="G15" s="49" t="s">
        <v>60</v>
      </c>
      <c r="H15" s="37" t="s">
        <v>32</v>
      </c>
      <c r="I15" s="38">
        <v>600</v>
      </c>
      <c r="J15" s="39">
        <v>5</v>
      </c>
      <c r="K15" s="43">
        <f>listeVentes[[#This Row],[Prix de vente]]*listeVentes[[#This Row],[Quantité]]</f>
        <v>3000</v>
      </c>
      <c r="L15" s="9"/>
    </row>
    <row r="16" spans="1:16" ht="18" customHeight="1" x14ac:dyDescent="0.3">
      <c r="A16" s="6"/>
      <c r="B16" s="9"/>
      <c r="C16" s="15">
        <f t="shared" si="0"/>
        <v>51</v>
      </c>
      <c r="D16" s="16">
        <v>44686</v>
      </c>
      <c r="E16" s="37" t="s">
        <v>40</v>
      </c>
      <c r="F16" s="37" t="s">
        <v>62</v>
      </c>
      <c r="G16" s="49" t="s">
        <v>60</v>
      </c>
      <c r="H16" s="37" t="s">
        <v>32</v>
      </c>
      <c r="I16" s="38">
        <v>220</v>
      </c>
      <c r="J16" s="39">
        <v>3</v>
      </c>
      <c r="K16" s="43">
        <f>listeVentes[[#This Row],[Prix de vente]]*listeVentes[[#This Row],[Quantité]]</f>
        <v>660</v>
      </c>
      <c r="L16" s="9"/>
    </row>
    <row r="17" spans="1:12" ht="18" customHeight="1" x14ac:dyDescent="0.3">
      <c r="A17" s="6"/>
      <c r="B17" s="9"/>
      <c r="C17" s="15">
        <f t="shared" si="0"/>
        <v>50</v>
      </c>
      <c r="D17" s="16">
        <v>44655</v>
      </c>
      <c r="E17" s="37" t="s">
        <v>40</v>
      </c>
      <c r="F17" s="37" t="s">
        <v>62</v>
      </c>
      <c r="G17" s="49" t="s">
        <v>60</v>
      </c>
      <c r="H17" s="37" t="s">
        <v>32</v>
      </c>
      <c r="I17" s="38">
        <v>200</v>
      </c>
      <c r="J17" s="39">
        <v>5</v>
      </c>
      <c r="K17" s="43">
        <f>listeVentes[[#This Row],[Prix de vente]]*listeVentes[[#This Row],[Quantité]]</f>
        <v>1000</v>
      </c>
      <c r="L17" s="9"/>
    </row>
    <row r="18" spans="1:12" ht="18" customHeight="1" x14ac:dyDescent="0.3">
      <c r="A18" s="6"/>
      <c r="B18" s="9"/>
      <c r="C18" s="15">
        <f t="shared" si="0"/>
        <v>49</v>
      </c>
      <c r="D18" s="16">
        <v>44625</v>
      </c>
      <c r="E18" s="37" t="s">
        <v>40</v>
      </c>
      <c r="F18" s="37" t="s">
        <v>62</v>
      </c>
      <c r="G18" s="49" t="s">
        <v>60</v>
      </c>
      <c r="H18" s="37" t="s">
        <v>32</v>
      </c>
      <c r="I18" s="38">
        <v>250</v>
      </c>
      <c r="J18" s="39">
        <v>10</v>
      </c>
      <c r="K18" s="43">
        <f>listeVentes[[#This Row],[Prix de vente]]*listeVentes[[#This Row],[Quantité]]</f>
        <v>2500</v>
      </c>
      <c r="L18" s="9"/>
    </row>
    <row r="19" spans="1:12" ht="18" customHeight="1" x14ac:dyDescent="0.3">
      <c r="A19" s="6"/>
      <c r="B19" s="9"/>
      <c r="C19" s="15">
        <f t="shared" si="0"/>
        <v>48</v>
      </c>
      <c r="D19" s="16">
        <v>44597</v>
      </c>
      <c r="E19" s="37" t="s">
        <v>40</v>
      </c>
      <c r="F19" s="37" t="s">
        <v>62</v>
      </c>
      <c r="G19" s="49" t="s">
        <v>60</v>
      </c>
      <c r="H19" s="37" t="s">
        <v>32</v>
      </c>
      <c r="I19" s="38">
        <v>200</v>
      </c>
      <c r="J19" s="39">
        <v>5</v>
      </c>
      <c r="K19" s="43">
        <f>listeVentes[[#This Row],[Prix de vente]]*listeVentes[[#This Row],[Quantité]]</f>
        <v>1000</v>
      </c>
      <c r="L19" s="9"/>
    </row>
    <row r="20" spans="1:12" ht="18" customHeight="1" x14ac:dyDescent="0.3">
      <c r="A20" s="6"/>
      <c r="B20" s="9"/>
      <c r="C20" s="15">
        <f t="shared" si="0"/>
        <v>47</v>
      </c>
      <c r="D20" s="16">
        <v>44562</v>
      </c>
      <c r="E20" s="37" t="s">
        <v>40</v>
      </c>
      <c r="F20" s="37" t="s">
        <v>62</v>
      </c>
      <c r="G20" s="49" t="s">
        <v>60</v>
      </c>
      <c r="H20" s="37" t="s">
        <v>32</v>
      </c>
      <c r="I20" s="38">
        <v>200</v>
      </c>
      <c r="J20" s="39">
        <v>5</v>
      </c>
      <c r="K20" s="43">
        <f>listeVentes[[#This Row],[Prix de vente]]*listeVentes[[#This Row],[Quantité]]</f>
        <v>1000</v>
      </c>
      <c r="L20" s="9"/>
    </row>
    <row r="21" spans="1:12" ht="18" customHeight="1" x14ac:dyDescent="0.3">
      <c r="A21" s="6"/>
      <c r="B21" s="9"/>
      <c r="C21" s="15">
        <f t="shared" si="0"/>
        <v>46</v>
      </c>
      <c r="D21" s="16">
        <v>44685</v>
      </c>
      <c r="E21" s="37" t="s">
        <v>39</v>
      </c>
      <c r="F21" s="37" t="s">
        <v>63</v>
      </c>
      <c r="G21" s="49" t="s">
        <v>60</v>
      </c>
      <c r="H21" s="37" t="s">
        <v>32</v>
      </c>
      <c r="I21" s="38">
        <v>400</v>
      </c>
      <c r="J21" s="39">
        <v>2</v>
      </c>
      <c r="K21" s="43">
        <f>listeVentes[[#This Row],[Prix de vente]]*listeVentes[[#This Row],[Quantité]]</f>
        <v>800</v>
      </c>
      <c r="L21" s="9"/>
    </row>
    <row r="22" spans="1:12" ht="18" customHeight="1" x14ac:dyDescent="0.3">
      <c r="A22" s="6"/>
      <c r="B22" s="9"/>
      <c r="C22" s="15">
        <f t="shared" si="0"/>
        <v>45</v>
      </c>
      <c r="D22" s="16">
        <v>44655</v>
      </c>
      <c r="E22" s="37" t="s">
        <v>39</v>
      </c>
      <c r="F22" s="37" t="s">
        <v>63</v>
      </c>
      <c r="G22" s="49" t="s">
        <v>60</v>
      </c>
      <c r="H22" s="37" t="s">
        <v>32</v>
      </c>
      <c r="I22" s="38">
        <v>400</v>
      </c>
      <c r="J22" s="39">
        <v>7</v>
      </c>
      <c r="K22" s="43">
        <f>listeVentes[[#This Row],[Prix de vente]]*listeVentes[[#This Row],[Quantité]]</f>
        <v>2800</v>
      </c>
      <c r="L22" s="9"/>
    </row>
    <row r="23" spans="1:12" ht="18" customHeight="1" x14ac:dyDescent="0.3">
      <c r="A23" s="6"/>
      <c r="B23" s="9"/>
      <c r="C23" s="15">
        <f t="shared" si="0"/>
        <v>44</v>
      </c>
      <c r="D23" s="16">
        <v>44624</v>
      </c>
      <c r="E23" s="37" t="s">
        <v>39</v>
      </c>
      <c r="F23" s="37" t="s">
        <v>63</v>
      </c>
      <c r="G23" s="49" t="s">
        <v>60</v>
      </c>
      <c r="H23" s="37" t="s">
        <v>32</v>
      </c>
      <c r="I23" s="38">
        <v>400</v>
      </c>
      <c r="J23" s="39">
        <v>5</v>
      </c>
      <c r="K23" s="43">
        <f>listeVentes[[#This Row],[Prix de vente]]*listeVentes[[#This Row],[Quantité]]</f>
        <v>2000</v>
      </c>
      <c r="L23" s="9"/>
    </row>
    <row r="24" spans="1:12" ht="18" customHeight="1" x14ac:dyDescent="0.3">
      <c r="A24" s="6"/>
      <c r="B24" s="9"/>
      <c r="C24" s="15">
        <f t="shared" si="0"/>
        <v>43</v>
      </c>
      <c r="D24" s="16">
        <v>44612</v>
      </c>
      <c r="E24" s="37" t="s">
        <v>39</v>
      </c>
      <c r="F24" s="37" t="s">
        <v>63</v>
      </c>
      <c r="G24" s="49" t="s">
        <v>60</v>
      </c>
      <c r="H24" s="37" t="s">
        <v>32</v>
      </c>
      <c r="I24" s="38">
        <v>400</v>
      </c>
      <c r="J24" s="39">
        <v>5</v>
      </c>
      <c r="K24" s="43">
        <f>listeVentes[[#This Row],[Prix de vente]]*listeVentes[[#This Row],[Quantité]]</f>
        <v>2000</v>
      </c>
      <c r="L24" s="9"/>
    </row>
    <row r="25" spans="1:12" ht="18" customHeight="1" x14ac:dyDescent="0.3">
      <c r="A25" s="6"/>
      <c r="B25" s="9"/>
      <c r="C25" s="15">
        <f t="shared" si="0"/>
        <v>42</v>
      </c>
      <c r="D25" s="16">
        <v>44563</v>
      </c>
      <c r="E25" s="37" t="s">
        <v>39</v>
      </c>
      <c r="F25" s="37" t="s">
        <v>63</v>
      </c>
      <c r="G25" s="49" t="s">
        <v>60</v>
      </c>
      <c r="H25" s="37" t="s">
        <v>32</v>
      </c>
      <c r="I25" s="38">
        <v>400</v>
      </c>
      <c r="J25" s="39">
        <v>5</v>
      </c>
      <c r="K25" s="43">
        <f>listeVentes[[#This Row],[Prix de vente]]*listeVentes[[#This Row],[Quantité]]</f>
        <v>2000</v>
      </c>
      <c r="L25" s="9"/>
    </row>
    <row r="26" spans="1:12" ht="18" customHeight="1" x14ac:dyDescent="0.3">
      <c r="A26" s="6"/>
      <c r="B26" s="9"/>
      <c r="C26" s="15">
        <f t="shared" si="0"/>
        <v>41</v>
      </c>
      <c r="D26" s="16">
        <v>44696</v>
      </c>
      <c r="E26" s="37" t="s">
        <v>38</v>
      </c>
      <c r="F26" s="37" t="s">
        <v>65</v>
      </c>
      <c r="G26" s="49" t="s">
        <v>60</v>
      </c>
      <c r="H26" s="37" t="s">
        <v>32</v>
      </c>
      <c r="I26" s="38">
        <v>800</v>
      </c>
      <c r="J26" s="39">
        <v>2</v>
      </c>
      <c r="K26" s="43">
        <f>listeVentes[[#This Row],[Prix de vente]]*listeVentes[[#This Row],[Quantité]]</f>
        <v>1600</v>
      </c>
      <c r="L26" s="9"/>
    </row>
    <row r="27" spans="1:12" ht="18" customHeight="1" x14ac:dyDescent="0.3">
      <c r="A27" s="6"/>
      <c r="B27" s="9"/>
      <c r="C27" s="15">
        <f t="shared" si="0"/>
        <v>40</v>
      </c>
      <c r="D27" s="16">
        <v>44655</v>
      </c>
      <c r="E27" s="37" t="s">
        <v>38</v>
      </c>
      <c r="F27" s="37" t="s">
        <v>65</v>
      </c>
      <c r="G27" s="49" t="s">
        <v>60</v>
      </c>
      <c r="H27" s="37" t="s">
        <v>32</v>
      </c>
      <c r="I27" s="38">
        <v>800</v>
      </c>
      <c r="J27" s="39">
        <v>2</v>
      </c>
      <c r="K27" s="43">
        <f>listeVentes[[#This Row],[Prix de vente]]*listeVentes[[#This Row],[Quantité]]</f>
        <v>1600</v>
      </c>
      <c r="L27" s="9"/>
    </row>
    <row r="28" spans="1:12" ht="18" customHeight="1" x14ac:dyDescent="0.3">
      <c r="A28" s="6"/>
      <c r="B28" s="9"/>
      <c r="C28" s="15">
        <f t="shared" si="0"/>
        <v>39</v>
      </c>
      <c r="D28" s="16">
        <v>44646</v>
      </c>
      <c r="E28" s="37" t="s">
        <v>38</v>
      </c>
      <c r="F28" s="37" t="s">
        <v>65</v>
      </c>
      <c r="G28" s="49" t="s">
        <v>60</v>
      </c>
      <c r="H28" s="37" t="s">
        <v>32</v>
      </c>
      <c r="I28" s="38">
        <v>800</v>
      </c>
      <c r="J28" s="39">
        <v>6</v>
      </c>
      <c r="K28" s="43">
        <f>listeVentes[[#This Row],[Prix de vente]]*listeVentes[[#This Row],[Quantité]]</f>
        <v>4800</v>
      </c>
      <c r="L28" s="9"/>
    </row>
    <row r="29" spans="1:12" ht="18" customHeight="1" x14ac:dyDescent="0.3">
      <c r="A29" s="6"/>
      <c r="B29" s="9"/>
      <c r="C29" s="15">
        <f t="shared" si="0"/>
        <v>38</v>
      </c>
      <c r="D29" s="16">
        <v>44598</v>
      </c>
      <c r="E29" s="37" t="s">
        <v>38</v>
      </c>
      <c r="F29" s="37" t="s">
        <v>65</v>
      </c>
      <c r="G29" s="49" t="s">
        <v>60</v>
      </c>
      <c r="H29" s="37" t="s">
        <v>32</v>
      </c>
      <c r="I29" s="38">
        <v>800</v>
      </c>
      <c r="J29" s="39">
        <v>6</v>
      </c>
      <c r="K29" s="43">
        <f>listeVentes[[#This Row],[Prix de vente]]*listeVentes[[#This Row],[Quantité]]</f>
        <v>4800</v>
      </c>
      <c r="L29" s="9"/>
    </row>
    <row r="30" spans="1:12" ht="18" customHeight="1" x14ac:dyDescent="0.3">
      <c r="A30" s="6"/>
      <c r="B30" s="9"/>
      <c r="C30" s="15">
        <f t="shared" si="0"/>
        <v>37</v>
      </c>
      <c r="D30" s="16">
        <v>44563</v>
      </c>
      <c r="E30" s="37" t="s">
        <v>38</v>
      </c>
      <c r="F30" s="37" t="s">
        <v>65</v>
      </c>
      <c r="G30" s="49" t="s">
        <v>60</v>
      </c>
      <c r="H30" s="37" t="s">
        <v>32</v>
      </c>
      <c r="I30" s="38">
        <v>800</v>
      </c>
      <c r="J30" s="39">
        <v>2</v>
      </c>
      <c r="K30" s="43">
        <f>listeVentes[[#This Row],[Prix de vente]]*listeVentes[[#This Row],[Quantité]]</f>
        <v>1600</v>
      </c>
      <c r="L30" s="9"/>
    </row>
    <row r="31" spans="1:12" ht="18" customHeight="1" x14ac:dyDescent="0.3">
      <c r="A31" s="6"/>
      <c r="B31" s="9"/>
      <c r="C31" s="15">
        <f t="shared" si="0"/>
        <v>36</v>
      </c>
      <c r="D31" s="16">
        <v>44686</v>
      </c>
      <c r="E31" s="37" t="s">
        <v>36</v>
      </c>
      <c r="F31" s="37" t="s">
        <v>50</v>
      </c>
      <c r="G31" s="37" t="s">
        <v>59</v>
      </c>
      <c r="H31" s="37" t="s">
        <v>32</v>
      </c>
      <c r="I31" s="38">
        <v>550</v>
      </c>
      <c r="J31" s="39">
        <v>2</v>
      </c>
      <c r="K31" s="43">
        <f>listeVentes[[#This Row],[Prix de vente]]*listeVentes[[#This Row],[Quantité]]</f>
        <v>1100</v>
      </c>
      <c r="L31" s="9"/>
    </row>
    <row r="32" spans="1:12" ht="18" customHeight="1" x14ac:dyDescent="0.3">
      <c r="A32" s="6"/>
      <c r="B32" s="9"/>
      <c r="C32" s="15">
        <f t="shared" si="0"/>
        <v>35</v>
      </c>
      <c r="D32" s="16">
        <v>44655</v>
      </c>
      <c r="E32" s="37" t="s">
        <v>36</v>
      </c>
      <c r="F32" s="37" t="s">
        <v>50</v>
      </c>
      <c r="G32" s="37" t="s">
        <v>59</v>
      </c>
      <c r="H32" s="37" t="s">
        <v>32</v>
      </c>
      <c r="I32" s="38">
        <v>550</v>
      </c>
      <c r="J32" s="39">
        <v>10</v>
      </c>
      <c r="K32" s="43">
        <f>listeVentes[[#This Row],[Prix de vente]]*listeVentes[[#This Row],[Quantité]]</f>
        <v>5500</v>
      </c>
      <c r="L32" s="9"/>
    </row>
    <row r="33" spans="1:12" ht="18" customHeight="1" x14ac:dyDescent="0.3">
      <c r="A33" s="6"/>
      <c r="B33" s="9"/>
      <c r="C33" s="15">
        <f t="shared" si="0"/>
        <v>34</v>
      </c>
      <c r="D33" s="16">
        <v>44625</v>
      </c>
      <c r="E33" s="37" t="s">
        <v>36</v>
      </c>
      <c r="F33" s="37" t="s">
        <v>50</v>
      </c>
      <c r="G33" s="37" t="s">
        <v>59</v>
      </c>
      <c r="H33" s="37" t="s">
        <v>32</v>
      </c>
      <c r="I33" s="38">
        <v>520</v>
      </c>
      <c r="J33" s="39">
        <v>6</v>
      </c>
      <c r="K33" s="43">
        <f>listeVentes[[#This Row],[Prix de vente]]*listeVentes[[#This Row],[Quantité]]</f>
        <v>3120</v>
      </c>
      <c r="L33" s="9"/>
    </row>
    <row r="34" spans="1:12" ht="18" customHeight="1" x14ac:dyDescent="0.3">
      <c r="A34" s="6"/>
      <c r="B34" s="9"/>
      <c r="C34" s="15">
        <f t="shared" si="0"/>
        <v>33</v>
      </c>
      <c r="D34" s="16">
        <v>44601</v>
      </c>
      <c r="E34" s="37" t="s">
        <v>36</v>
      </c>
      <c r="F34" s="37" t="s">
        <v>50</v>
      </c>
      <c r="G34" s="37" t="s">
        <v>59</v>
      </c>
      <c r="H34" s="37" t="s">
        <v>32</v>
      </c>
      <c r="I34" s="38">
        <v>600</v>
      </c>
      <c r="J34" s="39">
        <v>20</v>
      </c>
      <c r="K34" s="43">
        <f>listeVentes[[#This Row],[Prix de vente]]*listeVentes[[#This Row],[Quantité]]</f>
        <v>12000</v>
      </c>
      <c r="L34" s="9"/>
    </row>
    <row r="35" spans="1:12" ht="18" customHeight="1" x14ac:dyDescent="0.3">
      <c r="A35" s="6"/>
      <c r="B35" s="9"/>
      <c r="C35" s="15">
        <f t="shared" si="0"/>
        <v>32</v>
      </c>
      <c r="D35" s="16">
        <v>44567</v>
      </c>
      <c r="E35" s="37" t="s">
        <v>36</v>
      </c>
      <c r="F35" s="37" t="s">
        <v>50</v>
      </c>
      <c r="G35" s="37" t="s">
        <v>59</v>
      </c>
      <c r="H35" s="37" t="s">
        <v>32</v>
      </c>
      <c r="I35" s="38">
        <v>550</v>
      </c>
      <c r="J35" s="39">
        <v>6</v>
      </c>
      <c r="K35" s="43">
        <f>listeVentes[[#This Row],[Prix de vente]]*listeVentes[[#This Row],[Quantité]]</f>
        <v>3300</v>
      </c>
      <c r="L35" s="9"/>
    </row>
    <row r="36" spans="1:12" ht="18" customHeight="1" x14ac:dyDescent="0.3">
      <c r="A36" s="6"/>
      <c r="B36" s="9"/>
      <c r="C36" s="15">
        <f t="shared" si="0"/>
        <v>31</v>
      </c>
      <c r="D36" s="16">
        <v>44684</v>
      </c>
      <c r="E36" s="37" t="s">
        <v>35</v>
      </c>
      <c r="F36" s="37" t="s">
        <v>49</v>
      </c>
      <c r="G36" s="37" t="s">
        <v>59</v>
      </c>
      <c r="H36" s="37" t="s">
        <v>32</v>
      </c>
      <c r="I36" s="38">
        <v>800</v>
      </c>
      <c r="J36" s="39">
        <v>10</v>
      </c>
      <c r="K36" s="43">
        <f>listeVentes[[#This Row],[Prix de vente]]*listeVentes[[#This Row],[Quantité]]</f>
        <v>8000</v>
      </c>
      <c r="L36" s="9"/>
    </row>
    <row r="37" spans="1:12" ht="18" customHeight="1" x14ac:dyDescent="0.3">
      <c r="A37" s="6"/>
      <c r="B37" s="9"/>
      <c r="C37" s="15">
        <f t="shared" si="0"/>
        <v>30</v>
      </c>
      <c r="D37" s="16">
        <v>44672</v>
      </c>
      <c r="E37" s="37" t="s">
        <v>35</v>
      </c>
      <c r="F37" s="37" t="s">
        <v>49</v>
      </c>
      <c r="G37" s="37" t="s">
        <v>59</v>
      </c>
      <c r="H37" s="37" t="s">
        <v>32</v>
      </c>
      <c r="I37" s="38">
        <v>800</v>
      </c>
      <c r="J37" s="39">
        <v>5</v>
      </c>
      <c r="K37" s="43">
        <f>listeVentes[[#This Row],[Prix de vente]]*listeVentes[[#This Row],[Quantité]]</f>
        <v>4000</v>
      </c>
      <c r="L37" s="9"/>
    </row>
    <row r="38" spans="1:12" ht="18" customHeight="1" x14ac:dyDescent="0.3">
      <c r="A38" s="6"/>
      <c r="B38" s="9"/>
      <c r="C38" s="15">
        <f t="shared" si="0"/>
        <v>29</v>
      </c>
      <c r="D38" s="16">
        <v>44626</v>
      </c>
      <c r="E38" s="37" t="s">
        <v>35</v>
      </c>
      <c r="F38" s="37" t="s">
        <v>49</v>
      </c>
      <c r="G38" s="37" t="s">
        <v>59</v>
      </c>
      <c r="H38" s="37" t="s">
        <v>32</v>
      </c>
      <c r="I38" s="38">
        <v>820</v>
      </c>
      <c r="J38" s="39">
        <v>10</v>
      </c>
      <c r="K38" s="43">
        <f>listeVentes[[#This Row],[Prix de vente]]*listeVentes[[#This Row],[Quantité]]</f>
        <v>8200</v>
      </c>
      <c r="L38" s="9"/>
    </row>
    <row r="39" spans="1:12" ht="18" customHeight="1" x14ac:dyDescent="0.3">
      <c r="A39" s="6"/>
      <c r="B39" s="9"/>
      <c r="C39" s="15">
        <f t="shared" si="0"/>
        <v>28</v>
      </c>
      <c r="D39" s="16">
        <v>44597</v>
      </c>
      <c r="E39" s="37" t="s">
        <v>35</v>
      </c>
      <c r="F39" s="37" t="s">
        <v>49</v>
      </c>
      <c r="G39" s="37" t="s">
        <v>59</v>
      </c>
      <c r="H39" s="37" t="s">
        <v>32</v>
      </c>
      <c r="I39" s="38">
        <v>820</v>
      </c>
      <c r="J39" s="39">
        <v>5</v>
      </c>
      <c r="K39" s="43">
        <f>listeVentes[[#This Row],[Prix de vente]]*listeVentes[[#This Row],[Quantité]]</f>
        <v>4100</v>
      </c>
      <c r="L39" s="9"/>
    </row>
    <row r="40" spans="1:12" ht="18" customHeight="1" x14ac:dyDescent="0.3">
      <c r="A40" s="6"/>
      <c r="B40" s="9"/>
      <c r="C40" s="15">
        <f t="shared" si="0"/>
        <v>27</v>
      </c>
      <c r="D40" s="16">
        <v>44563</v>
      </c>
      <c r="E40" s="37" t="s">
        <v>35</v>
      </c>
      <c r="F40" s="37" t="s">
        <v>49</v>
      </c>
      <c r="G40" s="37" t="s">
        <v>59</v>
      </c>
      <c r="H40" s="37" t="s">
        <v>32</v>
      </c>
      <c r="I40" s="38">
        <v>800</v>
      </c>
      <c r="J40" s="39">
        <v>10</v>
      </c>
      <c r="K40" s="43">
        <f>listeVentes[[#This Row],[Prix de vente]]*listeVentes[[#This Row],[Quantité]]</f>
        <v>8000</v>
      </c>
      <c r="L40" s="9"/>
    </row>
    <row r="41" spans="1:12" ht="18" customHeight="1" x14ac:dyDescent="0.3">
      <c r="A41" s="6"/>
      <c r="B41" s="9"/>
      <c r="C41" s="15">
        <f t="shared" si="0"/>
        <v>26</v>
      </c>
      <c r="D41" s="16">
        <v>44687</v>
      </c>
      <c r="E41" s="37" t="s">
        <v>53</v>
      </c>
      <c r="F41" s="37" t="s">
        <v>66</v>
      </c>
      <c r="G41" s="37" t="s">
        <v>58</v>
      </c>
      <c r="H41" s="37" t="s">
        <v>32</v>
      </c>
      <c r="I41" s="38">
        <v>1500</v>
      </c>
      <c r="J41" s="39">
        <v>12</v>
      </c>
      <c r="K41" s="43">
        <f>listeVentes[[#This Row],[Prix de vente]]*listeVentes[[#This Row],[Quantité]]</f>
        <v>18000</v>
      </c>
      <c r="L41" s="9"/>
    </row>
    <row r="42" spans="1:12" ht="18" customHeight="1" x14ac:dyDescent="0.3">
      <c r="A42" s="6"/>
      <c r="B42" s="9"/>
      <c r="C42" s="15">
        <f t="shared" ref="C42:C62" si="1">C43+1</f>
        <v>25</v>
      </c>
      <c r="D42" s="16">
        <v>44655</v>
      </c>
      <c r="E42" s="37" t="s">
        <v>53</v>
      </c>
      <c r="F42" s="37" t="s">
        <v>66</v>
      </c>
      <c r="G42" s="37" t="s">
        <v>58</v>
      </c>
      <c r="H42" s="37" t="s">
        <v>32</v>
      </c>
      <c r="I42" s="38">
        <v>1500</v>
      </c>
      <c r="J42" s="39">
        <v>30</v>
      </c>
      <c r="K42" s="43">
        <f>listeVentes[[#This Row],[Prix de vente]]*listeVentes[[#This Row],[Quantité]]</f>
        <v>45000</v>
      </c>
      <c r="L42" s="9"/>
    </row>
    <row r="43" spans="1:12" ht="18" customHeight="1" x14ac:dyDescent="0.3">
      <c r="A43" s="6"/>
      <c r="B43" s="9"/>
      <c r="C43" s="15">
        <f t="shared" si="1"/>
        <v>24</v>
      </c>
      <c r="D43" s="16">
        <v>44626</v>
      </c>
      <c r="E43" s="37" t="s">
        <v>53</v>
      </c>
      <c r="F43" s="37" t="s">
        <v>66</v>
      </c>
      <c r="G43" s="37" t="s">
        <v>58</v>
      </c>
      <c r="H43" s="37" t="s">
        <v>32</v>
      </c>
      <c r="I43" s="38">
        <v>1500</v>
      </c>
      <c r="J43" s="39">
        <v>15</v>
      </c>
      <c r="K43" s="43">
        <f>listeVentes[[#This Row],[Prix de vente]]*listeVentes[[#This Row],[Quantité]]</f>
        <v>22500</v>
      </c>
      <c r="L43" s="9"/>
    </row>
    <row r="44" spans="1:12" ht="18" customHeight="1" x14ac:dyDescent="0.3">
      <c r="A44" s="6"/>
      <c r="B44" s="9"/>
      <c r="C44" s="15">
        <f t="shared" si="1"/>
        <v>23</v>
      </c>
      <c r="D44" s="16">
        <v>44594</v>
      </c>
      <c r="E44" s="37" t="s">
        <v>53</v>
      </c>
      <c r="F44" s="37" t="s">
        <v>66</v>
      </c>
      <c r="G44" s="37" t="s">
        <v>58</v>
      </c>
      <c r="H44" s="37" t="s">
        <v>32</v>
      </c>
      <c r="I44" s="38">
        <v>1500</v>
      </c>
      <c r="J44" s="39">
        <v>20</v>
      </c>
      <c r="K44" s="43">
        <f>listeVentes[[#This Row],[Prix de vente]]*listeVentes[[#This Row],[Quantité]]</f>
        <v>30000</v>
      </c>
      <c r="L44" s="9"/>
    </row>
    <row r="45" spans="1:12" ht="18" customHeight="1" x14ac:dyDescent="0.3">
      <c r="A45" s="6"/>
      <c r="B45" s="9"/>
      <c r="C45" s="15">
        <f t="shared" si="1"/>
        <v>22</v>
      </c>
      <c r="D45" s="16">
        <v>44563</v>
      </c>
      <c r="E45" s="37" t="s">
        <v>53</v>
      </c>
      <c r="F45" s="37" t="s">
        <v>66</v>
      </c>
      <c r="G45" s="37" t="s">
        <v>58</v>
      </c>
      <c r="H45" s="37" t="s">
        <v>32</v>
      </c>
      <c r="I45" s="38">
        <v>1400</v>
      </c>
      <c r="J45" s="39">
        <v>10</v>
      </c>
      <c r="K45" s="43">
        <f>listeVentes[[#This Row],[Prix de vente]]*listeVentes[[#This Row],[Quantité]]</f>
        <v>14000</v>
      </c>
      <c r="L45" s="9"/>
    </row>
    <row r="46" spans="1:12" ht="18" customHeight="1" x14ac:dyDescent="0.3">
      <c r="A46" s="6"/>
      <c r="B46" s="9"/>
      <c r="C46" s="15">
        <f t="shared" si="1"/>
        <v>21</v>
      </c>
      <c r="D46" s="16">
        <v>44687</v>
      </c>
      <c r="E46" s="37" t="s">
        <v>52</v>
      </c>
      <c r="F46" s="37" t="s">
        <v>51</v>
      </c>
      <c r="G46" s="37" t="s">
        <v>58</v>
      </c>
      <c r="H46" s="37" t="s">
        <v>32</v>
      </c>
      <c r="I46" s="38">
        <v>720</v>
      </c>
      <c r="J46" s="39">
        <v>23</v>
      </c>
      <c r="K46" s="43">
        <f>listeVentes[[#This Row],[Prix de vente]]*listeVentes[[#This Row],[Quantité]]</f>
        <v>16560</v>
      </c>
      <c r="L46" s="9"/>
    </row>
    <row r="47" spans="1:12" ht="18" customHeight="1" x14ac:dyDescent="0.3">
      <c r="A47" s="6"/>
      <c r="B47" s="9"/>
      <c r="C47" s="15">
        <f t="shared" si="1"/>
        <v>20</v>
      </c>
      <c r="D47" s="16">
        <v>44660</v>
      </c>
      <c r="E47" s="37" t="s">
        <v>52</v>
      </c>
      <c r="F47" s="37" t="s">
        <v>51</v>
      </c>
      <c r="G47" s="37" t="s">
        <v>58</v>
      </c>
      <c r="H47" s="37" t="s">
        <v>32</v>
      </c>
      <c r="I47" s="38">
        <v>680</v>
      </c>
      <c r="J47" s="39">
        <v>2</v>
      </c>
      <c r="K47" s="43">
        <f>listeVentes[[#This Row],[Prix de vente]]*listeVentes[[#This Row],[Quantité]]</f>
        <v>1360</v>
      </c>
      <c r="L47" s="9"/>
    </row>
    <row r="48" spans="1:12" ht="18" customHeight="1" x14ac:dyDescent="0.3">
      <c r="A48" s="6"/>
      <c r="B48" s="9"/>
      <c r="C48" s="15">
        <f t="shared" si="1"/>
        <v>19</v>
      </c>
      <c r="D48" s="16">
        <v>44626</v>
      </c>
      <c r="E48" s="37" t="s">
        <v>52</v>
      </c>
      <c r="F48" s="37" t="s">
        <v>51</v>
      </c>
      <c r="G48" s="37" t="s">
        <v>58</v>
      </c>
      <c r="H48" s="37" t="s">
        <v>32</v>
      </c>
      <c r="I48" s="38">
        <v>700</v>
      </c>
      <c r="J48" s="39">
        <v>20</v>
      </c>
      <c r="K48" s="43">
        <f>listeVentes[[#This Row],[Prix de vente]]*listeVentes[[#This Row],[Quantité]]</f>
        <v>14000</v>
      </c>
      <c r="L48" s="9"/>
    </row>
    <row r="49" spans="1:12" ht="18" customHeight="1" x14ac:dyDescent="0.3">
      <c r="A49" s="6"/>
      <c r="B49" s="9"/>
      <c r="C49" s="15">
        <f t="shared" si="1"/>
        <v>18</v>
      </c>
      <c r="D49" s="16">
        <v>44614</v>
      </c>
      <c r="E49" s="37" t="s">
        <v>52</v>
      </c>
      <c r="F49" s="37" t="s">
        <v>51</v>
      </c>
      <c r="G49" s="37" t="s">
        <v>58</v>
      </c>
      <c r="H49" s="37" t="s">
        <v>32</v>
      </c>
      <c r="I49" s="38">
        <v>670</v>
      </c>
      <c r="J49" s="39">
        <v>5</v>
      </c>
      <c r="K49" s="43">
        <f>listeVentes[[#This Row],[Prix de vente]]*listeVentes[[#This Row],[Quantité]]</f>
        <v>3350</v>
      </c>
      <c r="L49" s="9"/>
    </row>
    <row r="50" spans="1:12" ht="18" customHeight="1" x14ac:dyDescent="0.3">
      <c r="A50" s="6"/>
      <c r="B50" s="9"/>
      <c r="C50" s="15">
        <f t="shared" si="1"/>
        <v>17</v>
      </c>
      <c r="D50" s="16">
        <v>44587</v>
      </c>
      <c r="E50" s="37" t="s">
        <v>52</v>
      </c>
      <c r="F50" s="37" t="s">
        <v>51</v>
      </c>
      <c r="G50" s="37" t="s">
        <v>58</v>
      </c>
      <c r="H50" s="37" t="s">
        <v>32</v>
      </c>
      <c r="I50" s="38">
        <v>680</v>
      </c>
      <c r="J50" s="39">
        <v>8</v>
      </c>
      <c r="K50" s="43">
        <f>listeVentes[[#This Row],[Prix de vente]]*listeVentes[[#This Row],[Quantité]]</f>
        <v>5440</v>
      </c>
      <c r="L50" s="9"/>
    </row>
    <row r="51" spans="1:12" ht="18" customHeight="1" x14ac:dyDescent="0.3">
      <c r="A51" s="6"/>
      <c r="B51" s="9"/>
      <c r="C51" s="15">
        <f t="shared" si="1"/>
        <v>16</v>
      </c>
      <c r="D51" s="16">
        <v>44673</v>
      </c>
      <c r="E51" s="37" t="s">
        <v>56</v>
      </c>
      <c r="F51" s="37" t="s">
        <v>18</v>
      </c>
      <c r="G51" s="37" t="s">
        <v>19</v>
      </c>
      <c r="H51" s="37" t="s">
        <v>22</v>
      </c>
      <c r="I51" s="38">
        <v>4.5999999999999996</v>
      </c>
      <c r="J51" s="39">
        <v>60</v>
      </c>
      <c r="K51" s="43">
        <f>listeVentes[[#This Row],[Prix de vente]]*listeVentes[[#This Row],[Quantité]]</f>
        <v>276</v>
      </c>
      <c r="L51" s="9"/>
    </row>
    <row r="52" spans="1:12" ht="18" customHeight="1" x14ac:dyDescent="0.3">
      <c r="A52" s="6"/>
      <c r="B52" s="9"/>
      <c r="C52" s="15">
        <f t="shared" si="1"/>
        <v>15</v>
      </c>
      <c r="D52" s="16">
        <v>44652</v>
      </c>
      <c r="E52" s="37" t="s">
        <v>56</v>
      </c>
      <c r="F52" s="37" t="s">
        <v>18</v>
      </c>
      <c r="G52" s="37" t="s">
        <v>19</v>
      </c>
      <c r="H52" s="37" t="s">
        <v>22</v>
      </c>
      <c r="I52" s="38">
        <v>5</v>
      </c>
      <c r="J52" s="39">
        <v>60</v>
      </c>
      <c r="K52" s="43">
        <f>listeVentes[[#This Row],[Prix de vente]]*listeVentes[[#This Row],[Quantité]]</f>
        <v>300</v>
      </c>
      <c r="L52" s="9"/>
    </row>
    <row r="53" spans="1:12" ht="18" customHeight="1" x14ac:dyDescent="0.3">
      <c r="A53" s="6"/>
      <c r="B53" s="9"/>
      <c r="C53" s="15">
        <f t="shared" si="1"/>
        <v>14</v>
      </c>
      <c r="D53" s="16">
        <v>44629</v>
      </c>
      <c r="E53" s="37" t="s">
        <v>56</v>
      </c>
      <c r="F53" s="37" t="s">
        <v>18</v>
      </c>
      <c r="G53" s="37" t="s">
        <v>19</v>
      </c>
      <c r="H53" s="37" t="s">
        <v>22</v>
      </c>
      <c r="I53" s="38">
        <v>5</v>
      </c>
      <c r="J53" s="39">
        <v>60</v>
      </c>
      <c r="K53" s="43">
        <f>listeVentes[[#This Row],[Prix de vente]]*listeVentes[[#This Row],[Quantité]]</f>
        <v>300</v>
      </c>
      <c r="L53" s="9"/>
    </row>
    <row r="54" spans="1:12" ht="18" customHeight="1" x14ac:dyDescent="0.3">
      <c r="A54" s="6"/>
      <c r="B54" s="9"/>
      <c r="C54" s="15">
        <f t="shared" si="1"/>
        <v>13</v>
      </c>
      <c r="D54" s="16">
        <v>44598</v>
      </c>
      <c r="E54" s="37" t="s">
        <v>56</v>
      </c>
      <c r="F54" s="37" t="s">
        <v>18</v>
      </c>
      <c r="G54" s="37" t="s">
        <v>19</v>
      </c>
      <c r="H54" s="37" t="s">
        <v>22</v>
      </c>
      <c r="I54" s="38">
        <v>5</v>
      </c>
      <c r="J54" s="39">
        <v>12</v>
      </c>
      <c r="K54" s="43">
        <f>listeVentes[[#This Row],[Prix de vente]]*listeVentes[[#This Row],[Quantité]]</f>
        <v>60</v>
      </c>
      <c r="L54" s="9"/>
    </row>
    <row r="55" spans="1:12" ht="18" customHeight="1" x14ac:dyDescent="0.3">
      <c r="A55" s="6"/>
      <c r="B55" s="9"/>
      <c r="C55" s="15">
        <f t="shared" si="1"/>
        <v>12</v>
      </c>
      <c r="D55" s="16">
        <v>44689</v>
      </c>
      <c r="E55" s="37" t="s">
        <v>55</v>
      </c>
      <c r="F55" s="37" t="s">
        <v>18</v>
      </c>
      <c r="G55" s="37" t="s">
        <v>19</v>
      </c>
      <c r="H55" s="37" t="s">
        <v>21</v>
      </c>
      <c r="I55" s="38">
        <v>3</v>
      </c>
      <c r="J55" s="39">
        <v>10</v>
      </c>
      <c r="K55" s="43">
        <f>listeVentes[[#This Row],[Prix de vente]]*listeVentes[[#This Row],[Quantité]]</f>
        <v>30</v>
      </c>
      <c r="L55" s="9"/>
    </row>
    <row r="56" spans="1:12" ht="18" customHeight="1" x14ac:dyDescent="0.3">
      <c r="A56" s="6"/>
      <c r="B56" s="9"/>
      <c r="C56" s="15">
        <f t="shared" si="1"/>
        <v>11</v>
      </c>
      <c r="D56" s="16">
        <v>44656</v>
      </c>
      <c r="E56" s="37" t="s">
        <v>55</v>
      </c>
      <c r="F56" s="37" t="s">
        <v>18</v>
      </c>
      <c r="G56" s="37" t="s">
        <v>19</v>
      </c>
      <c r="H56" s="37" t="s">
        <v>21</v>
      </c>
      <c r="I56" s="38">
        <v>2.7</v>
      </c>
      <c r="J56" s="39">
        <v>15</v>
      </c>
      <c r="K56" s="43">
        <f>listeVentes[[#This Row],[Prix de vente]]*listeVentes[[#This Row],[Quantité]]</f>
        <v>40.5</v>
      </c>
      <c r="L56" s="9"/>
    </row>
    <row r="57" spans="1:12" ht="18" customHeight="1" x14ac:dyDescent="0.3">
      <c r="A57" s="6"/>
      <c r="B57" s="9"/>
      <c r="C57" s="15">
        <f t="shared" si="1"/>
        <v>10</v>
      </c>
      <c r="D57" s="16">
        <v>44623</v>
      </c>
      <c r="E57" s="37" t="s">
        <v>55</v>
      </c>
      <c r="F57" s="37" t="s">
        <v>18</v>
      </c>
      <c r="G57" s="37" t="s">
        <v>19</v>
      </c>
      <c r="H57" s="37" t="s">
        <v>21</v>
      </c>
      <c r="I57" s="38">
        <v>2.6</v>
      </c>
      <c r="J57" s="39">
        <v>15</v>
      </c>
      <c r="K57" s="43">
        <f>listeVentes[[#This Row],[Prix de vente]]*listeVentes[[#This Row],[Quantité]]</f>
        <v>39</v>
      </c>
      <c r="L57" s="9"/>
    </row>
    <row r="58" spans="1:12" ht="18" customHeight="1" x14ac:dyDescent="0.3">
      <c r="A58" s="6"/>
      <c r="B58" s="9"/>
      <c r="C58" s="15">
        <f t="shared" si="1"/>
        <v>9</v>
      </c>
      <c r="D58" s="16">
        <v>44595</v>
      </c>
      <c r="E58" s="37" t="s">
        <v>55</v>
      </c>
      <c r="F58" s="37" t="s">
        <v>18</v>
      </c>
      <c r="G58" s="37" t="s">
        <v>19</v>
      </c>
      <c r="H58" s="37" t="s">
        <v>21</v>
      </c>
      <c r="I58" s="38">
        <v>2.5</v>
      </c>
      <c r="J58" s="39">
        <v>2</v>
      </c>
      <c r="K58" s="43">
        <f>listeVentes[[#This Row],[Prix de vente]]*listeVentes[[#This Row],[Quantité]]</f>
        <v>5</v>
      </c>
      <c r="L58" s="9"/>
    </row>
    <row r="59" spans="1:12" ht="18" customHeight="1" x14ac:dyDescent="0.3">
      <c r="A59" s="6"/>
      <c r="B59" s="9"/>
      <c r="C59" s="15">
        <f t="shared" si="1"/>
        <v>8</v>
      </c>
      <c r="D59" s="16">
        <v>44703</v>
      </c>
      <c r="E59" s="37" t="s">
        <v>54</v>
      </c>
      <c r="F59" s="37" t="s">
        <v>18</v>
      </c>
      <c r="G59" s="37" t="s">
        <v>19</v>
      </c>
      <c r="H59" s="37" t="s">
        <v>20</v>
      </c>
      <c r="I59" s="38">
        <v>0.3</v>
      </c>
      <c r="J59" s="39">
        <v>4</v>
      </c>
      <c r="K59" s="43">
        <f>listeVentes[[#This Row],[Prix de vente]]*listeVentes[[#This Row],[Quantité]]</f>
        <v>1.2</v>
      </c>
      <c r="L59" s="9"/>
    </row>
    <row r="60" spans="1:12" ht="18" customHeight="1" x14ac:dyDescent="0.3">
      <c r="A60" s="6"/>
      <c r="B60" s="9"/>
      <c r="C60" s="15">
        <f t="shared" si="1"/>
        <v>7</v>
      </c>
      <c r="D60" s="16">
        <v>44655</v>
      </c>
      <c r="E60" s="37" t="s">
        <v>54</v>
      </c>
      <c r="F60" s="37" t="s">
        <v>18</v>
      </c>
      <c r="G60" s="37" t="s">
        <v>19</v>
      </c>
      <c r="H60" s="37" t="s">
        <v>20</v>
      </c>
      <c r="I60" s="38">
        <v>0.3</v>
      </c>
      <c r="J60" s="39">
        <v>15</v>
      </c>
      <c r="K60" s="43">
        <f>listeVentes[[#This Row],[Prix de vente]]*listeVentes[[#This Row],[Quantité]]</f>
        <v>4.5</v>
      </c>
      <c r="L60" s="9"/>
    </row>
    <row r="61" spans="1:12" ht="18" customHeight="1" x14ac:dyDescent="0.3">
      <c r="A61" s="6"/>
      <c r="B61" s="9"/>
      <c r="C61" s="15">
        <f t="shared" si="1"/>
        <v>6</v>
      </c>
      <c r="D61" s="16">
        <v>44626</v>
      </c>
      <c r="E61" s="37" t="s">
        <v>54</v>
      </c>
      <c r="F61" s="37" t="s">
        <v>18</v>
      </c>
      <c r="G61" s="37" t="s">
        <v>19</v>
      </c>
      <c r="H61" s="37" t="s">
        <v>20</v>
      </c>
      <c r="I61" s="38">
        <v>0.3</v>
      </c>
      <c r="J61" s="39">
        <v>20</v>
      </c>
      <c r="K61" s="43">
        <f>listeVentes[[#This Row],[Prix de vente]]*listeVentes[[#This Row],[Quantité]]</f>
        <v>6</v>
      </c>
      <c r="L61" s="9"/>
    </row>
    <row r="62" spans="1:12" ht="18" customHeight="1" x14ac:dyDescent="0.3">
      <c r="A62" s="6"/>
      <c r="B62" s="9"/>
      <c r="C62" s="15">
        <f t="shared" si="1"/>
        <v>5</v>
      </c>
      <c r="D62" s="16">
        <v>44597</v>
      </c>
      <c r="E62" s="37" t="s">
        <v>54</v>
      </c>
      <c r="F62" s="37" t="s">
        <v>18</v>
      </c>
      <c r="G62" s="37" t="s">
        <v>19</v>
      </c>
      <c r="H62" s="37" t="s">
        <v>20</v>
      </c>
      <c r="I62" s="38">
        <v>0.3</v>
      </c>
      <c r="J62" s="39">
        <v>15</v>
      </c>
      <c r="K62" s="43">
        <f>listeVentes[[#This Row],[Prix de vente]]*listeVentes[[#This Row],[Quantité]]</f>
        <v>4.5</v>
      </c>
      <c r="L62" s="9"/>
    </row>
    <row r="63" spans="1:12" ht="18" customHeight="1" x14ac:dyDescent="0.3">
      <c r="A63" s="6"/>
      <c r="B63" s="9"/>
      <c r="C63" s="15">
        <v>4</v>
      </c>
      <c r="D63" s="16">
        <v>44584</v>
      </c>
      <c r="E63" s="37" t="s">
        <v>55</v>
      </c>
      <c r="F63" s="13" t="s">
        <v>18</v>
      </c>
      <c r="G63" s="13" t="s">
        <v>19</v>
      </c>
      <c r="H63" s="13" t="s">
        <v>21</v>
      </c>
      <c r="I63" s="38">
        <v>3</v>
      </c>
      <c r="J63" s="39">
        <v>6</v>
      </c>
      <c r="K63" s="14">
        <f>listeVentes[[#This Row],[Prix de vente]]*listeVentes[[#This Row],[Quantité]]</f>
        <v>18</v>
      </c>
      <c r="L63" s="9"/>
    </row>
    <row r="64" spans="1:12" ht="18" customHeight="1" x14ac:dyDescent="0.3">
      <c r="A64" s="6"/>
      <c r="B64" s="9"/>
      <c r="C64" s="15">
        <v>3</v>
      </c>
      <c r="D64" s="16">
        <v>44582</v>
      </c>
      <c r="E64" s="13" t="s">
        <v>54</v>
      </c>
      <c r="F64" s="13" t="s">
        <v>18</v>
      </c>
      <c r="G64" s="13" t="s">
        <v>19</v>
      </c>
      <c r="H64" s="13" t="s">
        <v>20</v>
      </c>
      <c r="I64" s="14">
        <v>0.3</v>
      </c>
      <c r="J64" s="13">
        <v>5</v>
      </c>
      <c r="K64" s="14">
        <f>listeVentes[[#This Row],[Prix de vente]]*listeVentes[[#This Row],[Quantité]]</f>
        <v>1.5</v>
      </c>
      <c r="L64" s="9"/>
    </row>
    <row r="65" spans="1:12" ht="18" customHeight="1" x14ac:dyDescent="0.3">
      <c r="A65" s="6"/>
      <c r="B65" s="9"/>
      <c r="C65" s="15">
        <v>2</v>
      </c>
      <c r="D65" s="16">
        <v>44578</v>
      </c>
      <c r="E65" s="13" t="s">
        <v>55</v>
      </c>
      <c r="F65" s="13" t="s">
        <v>18</v>
      </c>
      <c r="G65" s="13" t="s">
        <v>19</v>
      </c>
      <c r="H65" s="13" t="s">
        <v>21</v>
      </c>
      <c r="I65" s="14">
        <v>2.2000000000000002</v>
      </c>
      <c r="J65" s="13">
        <v>6</v>
      </c>
      <c r="K65" s="14">
        <f>listeVentes[[#This Row],[Prix de vente]]*listeVentes[[#This Row],[Quantité]]</f>
        <v>13.200000000000001</v>
      </c>
      <c r="L65" s="9"/>
    </row>
    <row r="66" spans="1:12" ht="18" customHeight="1" x14ac:dyDescent="0.3">
      <c r="B66" s="9"/>
      <c r="C66" s="15">
        <v>1</v>
      </c>
      <c r="D66" s="16">
        <v>44571</v>
      </c>
      <c r="E66" s="13" t="s">
        <v>56</v>
      </c>
      <c r="F66" s="13" t="s">
        <v>18</v>
      </c>
      <c r="G66" s="13" t="s">
        <v>19</v>
      </c>
      <c r="H66" s="13" t="s">
        <v>22</v>
      </c>
      <c r="I66" s="14">
        <v>4.2</v>
      </c>
      <c r="J66" s="13">
        <v>3</v>
      </c>
      <c r="K66" s="14">
        <f>listeVentes[[#This Row],[Prix de vente]]*listeVentes[[#This Row],[Quantité]]</f>
        <v>12.600000000000001</v>
      </c>
      <c r="L66" s="9"/>
    </row>
    <row r="67" spans="1:12" ht="18" customHeight="1" x14ac:dyDescent="0.3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8" customHeight="1" x14ac:dyDescent="0.3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8" customHeight="1" x14ac:dyDescent="0.3"/>
    <row r="70" spans="1:12" ht="19.95" customHeight="1" x14ac:dyDescent="0.3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3" xr:uid="{F2FDCC16-73A3-4195-9F6E-0D4642AA913B}">
      <formula1>44561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2B48-77C5-4F10-95A2-5FF5376E5E3D}">
  <sheetPr codeName="Feuil11"/>
  <dimension ref="A1:S20"/>
  <sheetViews>
    <sheetView zoomScale="115" zoomScaleNormal="115" workbookViewId="0">
      <selection activeCell="K6" sqref="K6"/>
    </sheetView>
  </sheetViews>
  <sheetFormatPr baseColWidth="10" defaultColWidth="8.88671875" defaultRowHeight="14.4" x14ac:dyDescent="0.3"/>
  <cols>
    <col min="1" max="2" width="3.77734375" style="1" customWidth="1"/>
    <col min="3" max="3" width="11.44140625" style="1" customWidth="1"/>
    <col min="4" max="4" width="25.44140625" style="1" customWidth="1"/>
    <col min="5" max="5" width="14.44140625" style="1" customWidth="1"/>
    <col min="6" max="6" width="16.21875" style="1" customWidth="1"/>
    <col min="7" max="7" width="13.5546875" style="1" customWidth="1"/>
    <col min="8" max="8" width="12.88671875" style="1" customWidth="1"/>
    <col min="9" max="9" width="9.44140625" style="1" customWidth="1"/>
    <col min="10" max="10" width="8.6640625" style="1" customWidth="1"/>
    <col min="11" max="11" width="12" style="1" customWidth="1"/>
    <col min="12" max="12" width="12.5546875" style="1" customWidth="1"/>
    <col min="13" max="13" width="13.109375" style="1" customWidth="1"/>
    <col min="14" max="14" width="13.21875" style="1" customWidth="1"/>
    <col min="15" max="15" width="3.77734375" style="1" customWidth="1"/>
    <col min="16" max="27" width="12.77734375" style="1" customWidth="1"/>
    <col min="28" max="16384" width="8.88671875" style="1"/>
  </cols>
  <sheetData>
    <row r="1" spans="1:19" ht="18.600000000000001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21.6" customHeight="1" x14ac:dyDescent="0.35">
      <c r="A3" s="5"/>
      <c r="B3" s="9"/>
      <c r="C3" s="61" t="s">
        <v>34</v>
      </c>
      <c r="D3" s="61"/>
      <c r="E3" s="23"/>
      <c r="F3" s="23"/>
      <c r="G3" s="23"/>
      <c r="H3" s="59"/>
      <c r="I3" s="59"/>
      <c r="J3" s="23"/>
      <c r="K3" s="23"/>
      <c r="L3" s="23"/>
      <c r="M3" s="23"/>
      <c r="N3" s="23"/>
      <c r="O3" s="3"/>
      <c r="P3" s="5"/>
      <c r="Q3" s="5"/>
      <c r="R3" s="5"/>
      <c r="S3" s="5"/>
    </row>
    <row r="4" spans="1:19" ht="15" customHeight="1" x14ac:dyDescent="0.3">
      <c r="B4" s="9"/>
      <c r="C4" s="61"/>
      <c r="D4" s="61"/>
      <c r="E4" s="24"/>
      <c r="F4" s="24"/>
      <c r="G4" s="24"/>
      <c r="H4" s="60"/>
      <c r="I4" s="60"/>
      <c r="J4" s="60"/>
      <c r="K4" s="23"/>
      <c r="L4" s="23"/>
      <c r="M4" s="23"/>
      <c r="N4" s="23"/>
      <c r="O4" s="3"/>
    </row>
    <row r="5" spans="1:19" ht="18" customHeight="1" x14ac:dyDescent="0.3">
      <c r="A5" s="6"/>
      <c r="B5" s="9"/>
      <c r="C5" s="17" t="s">
        <v>14</v>
      </c>
      <c r="D5" s="18" t="s">
        <v>0</v>
      </c>
      <c r="E5" s="18" t="s">
        <v>15</v>
      </c>
      <c r="F5" s="18" t="s">
        <v>8</v>
      </c>
      <c r="G5" s="18" t="s">
        <v>3</v>
      </c>
      <c r="H5" s="18" t="s">
        <v>10</v>
      </c>
      <c r="I5" s="18" t="s">
        <v>12</v>
      </c>
      <c r="J5" s="18" t="s">
        <v>13</v>
      </c>
      <c r="K5" s="18" t="s">
        <v>11</v>
      </c>
      <c r="L5" s="18" t="s">
        <v>37</v>
      </c>
      <c r="M5" s="18" t="s">
        <v>4</v>
      </c>
      <c r="N5" s="19" t="s">
        <v>16</v>
      </c>
      <c r="O5" s="9"/>
    </row>
    <row r="6" spans="1:19" ht="18" customHeight="1" x14ac:dyDescent="0.3">
      <c r="A6" s="6"/>
      <c r="B6" s="9"/>
      <c r="C6" s="25" t="s">
        <v>52</v>
      </c>
      <c r="D6" s="20" t="str">
        <f>IFERROR(VLOOKUP(listeInventaire[[#This Row],[Référence]],listeProduits[],2,FALSE),"")</f>
        <v>GOOGLE PIXEL 5</v>
      </c>
      <c r="E6" s="20" t="str">
        <f>IFERROR(VLOOKUP(listeInventaire[[#This Row],[Référence]],listeProduits[],3,FALSE),"")</f>
        <v>SmartPhone</v>
      </c>
      <c r="F6" s="20" t="str">
        <f>IFERROR(VLOOKUP(listeInventaire[[#This Row],[Référence]],listeProduits[],4,FALSE),"")</f>
        <v>1 unité</v>
      </c>
      <c r="G6" s="22">
        <f>IFERROR(VLOOKUP(listeInventaire[[#This Row],[Référence]],listeProduits[],5,FALSE),"")</f>
        <v>10</v>
      </c>
      <c r="H6" s="22">
        <f>IFERROR(VLOOKUP(listeInventaire[[#This Row],[Référence]],listeProduits[],6,FALSE),"")</f>
        <v>20</v>
      </c>
      <c r="I6" s="22">
        <f>SUMIF(listeAchats[Référence],listeInventaire[[#This Row],[Référence]],listeAchats[Quantité])</f>
        <v>55</v>
      </c>
      <c r="J6" s="22">
        <f>SUMIF(listeVentes[Référence],listeInventaire[[#This Row],[Référence]],listeVentes[Quantité])</f>
        <v>60</v>
      </c>
      <c r="K6" s="22">
        <f>IFERROR(listeInventaire[[#This Row],[Stock initial]]+listeInventaire[[#This Row],[Entrées]]-listeInventaire[[#This Row],[Sorties]],"")</f>
        <v>15</v>
      </c>
      <c r="L6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599.4666666666667</v>
      </c>
      <c r="M6" s="21">
        <f>IFERROR(listeInventaire[[#This Row],[Stock final]]*listeInventaire[[#This Row],[CUMP]],"")</f>
        <v>8992</v>
      </c>
      <c r="N6" s="20" t="str">
        <f>IF(listeInventaire[[#This Row],[Stock final]]&gt;listeInventaire[[#This Row],[Seuil d''alerte]],"Stock normal",IF(listeInventaire[[#This Row],[Stock final]]=0,"Non disponible","Stock faible"))</f>
        <v>Stock normal</v>
      </c>
      <c r="O6" s="9"/>
    </row>
    <row r="7" spans="1:19" ht="18" customHeight="1" x14ac:dyDescent="0.3">
      <c r="A7" s="6"/>
      <c r="B7" s="9"/>
      <c r="C7" s="25" t="s">
        <v>53</v>
      </c>
      <c r="D7" s="20" t="str">
        <f>IFERROR(VLOOKUP(listeInventaire[[#This Row],[Référence]],listeProduits[],2,FALSE),"")</f>
        <v>IPHONE 13 PRO</v>
      </c>
      <c r="E7" s="20" t="str">
        <f>IFERROR(VLOOKUP(listeInventaire[[#This Row],[Référence]],listeProduits[],3,FALSE),"")</f>
        <v>SmartPhone</v>
      </c>
      <c r="F7" s="20" t="str">
        <f>IFERROR(VLOOKUP(listeInventaire[[#This Row],[Référence]],listeProduits[],4,FALSE),"")</f>
        <v>1 unité</v>
      </c>
      <c r="G7" s="22">
        <f>IFERROR(VLOOKUP(listeInventaire[[#This Row],[Référence]],listeProduits[],5,FALSE),"")</f>
        <v>10</v>
      </c>
      <c r="H7" s="22">
        <f>IFERROR(VLOOKUP(listeInventaire[[#This Row],[Référence]],listeProduits[],6,FALSE),"")</f>
        <v>3</v>
      </c>
      <c r="I7" s="22">
        <f>SUMIF(listeAchats[Référence],listeInventaire[[#This Row],[Référence]],listeAchats[Quantité])</f>
        <v>96</v>
      </c>
      <c r="J7" s="22">
        <f>SUMIF(listeVentes[Référence],listeInventaire[[#This Row],[Référence]],listeVentes[Quantité])</f>
        <v>87</v>
      </c>
      <c r="K7" s="22">
        <f>IFERROR(listeInventaire[[#This Row],[Stock initial]]+listeInventaire[[#This Row],[Entrées]]-listeInventaire[[#This Row],[Sorties]],"")</f>
        <v>12</v>
      </c>
      <c r="L7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1400</v>
      </c>
      <c r="M7" s="21">
        <f>IFERROR(listeInventaire[[#This Row],[Stock final]]*listeInventaire[[#This Row],[CUMP]],"")</f>
        <v>16800</v>
      </c>
      <c r="N7" s="20" t="str">
        <f>IF(listeInventaire[[#This Row],[Stock final]]&gt;listeInventaire[[#This Row],[Seuil d''alerte]],"Stock normal",IF(listeInventaire[[#This Row],[Stock final]]=0,"Non disponible","Stock faible"))</f>
        <v>Stock normal</v>
      </c>
      <c r="O7" s="9"/>
    </row>
    <row r="8" spans="1:19" ht="18" customHeight="1" x14ac:dyDescent="0.3">
      <c r="B8" s="9"/>
      <c r="C8" s="25" t="s">
        <v>54</v>
      </c>
      <c r="D8" s="20" t="str">
        <f>IFERROR(VLOOKUP(listeInventaire[[#This Row],[Référence]],listeProduits[],2,FALSE),"")</f>
        <v>Oreo</v>
      </c>
      <c r="E8" s="20" t="str">
        <f>IFERROR(VLOOKUP(listeInventaire[[#This Row],[Référence]],listeProduits[],3,FALSE),"")</f>
        <v xml:space="preserve">Biscuits </v>
      </c>
      <c r="F8" s="20" t="str">
        <f>IFERROR(VLOOKUP(listeInventaire[[#This Row],[Référence]],listeProduits[],4,FALSE),"")</f>
        <v xml:space="preserve">1 unité </v>
      </c>
      <c r="G8" s="22">
        <f>IFERROR(VLOOKUP(listeInventaire[[#This Row],[Référence]],listeProduits[],5,FALSE),"")</f>
        <v>10</v>
      </c>
      <c r="H8" s="22">
        <f>IFERROR(VLOOKUP(listeInventaire[[#This Row],[Référence]],listeProduits[],6,FALSE),"")</f>
        <v>10</v>
      </c>
      <c r="I8" s="22">
        <f>SUMIF(listeAchats[Référence],listeInventaire[[#This Row],[Référence]],listeAchats[Quantité])</f>
        <v>95</v>
      </c>
      <c r="J8" s="22">
        <f>SUMIF(listeVentes[Référence],listeInventaire[[#This Row],[Référence]],listeVentes[Quantité])</f>
        <v>79</v>
      </c>
      <c r="K8" s="22">
        <f>IFERROR(listeInventaire[[#This Row],[Stock initial]]+listeInventaire[[#This Row],[Entrées]]-listeInventaire[[#This Row],[Sorties]],"")</f>
        <v>26</v>
      </c>
      <c r="L8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0.20904761904761907</v>
      </c>
      <c r="M8" s="21">
        <f>IFERROR(listeInventaire[[#This Row],[Stock final]]*listeInventaire[[#This Row],[CUMP]],"")</f>
        <v>5.4352380952380956</v>
      </c>
      <c r="N8" s="20" t="str">
        <f>IF(listeInventaire[[#This Row],[Stock final]]&gt;listeInventaire[[#This Row],[Seuil d''alerte]],"Stock normal",IF(listeInventaire[[#This Row],[Stock final]]=0,"Non disponible","Stock faible"))</f>
        <v>Stock normal</v>
      </c>
      <c r="O8" s="9"/>
    </row>
    <row r="9" spans="1:19" ht="18" customHeight="1" x14ac:dyDescent="0.3">
      <c r="B9" s="9"/>
      <c r="C9" s="25" t="s">
        <v>55</v>
      </c>
      <c r="D9" s="20" t="str">
        <f>IFERROR(VLOOKUP(listeInventaire[[#This Row],[Référence]],listeProduits[],2,FALSE),"")</f>
        <v>Oreo</v>
      </c>
      <c r="E9" s="20" t="str">
        <f>IFERROR(VLOOKUP(listeInventaire[[#This Row],[Référence]],listeProduits[],3,FALSE),"")</f>
        <v xml:space="preserve">Biscuits </v>
      </c>
      <c r="F9" s="20" t="str">
        <f>IFERROR(VLOOKUP(listeInventaire[[#This Row],[Référence]],listeProduits[],4,FALSE),"")</f>
        <v>Pack de 10 unités</v>
      </c>
      <c r="G9" s="22">
        <f>IFERROR(VLOOKUP(listeInventaire[[#This Row],[Référence]],listeProduits[],5,FALSE),"")</f>
        <v>50</v>
      </c>
      <c r="H9" s="22">
        <f>IFERROR(VLOOKUP(listeInventaire[[#This Row],[Référence]],listeProduits[],6,FALSE),"")</f>
        <v>15</v>
      </c>
      <c r="I9" s="22">
        <f>SUMIF(listeAchats[Référence],listeInventaire[[#This Row],[Référence]],listeAchats[Quantité])</f>
        <v>147</v>
      </c>
      <c r="J9" s="22">
        <f>SUMIF(listeVentes[Référence],listeInventaire[[#This Row],[Référence]],listeVentes[Quantité])</f>
        <v>64</v>
      </c>
      <c r="K9" s="22">
        <f>IFERROR(listeInventaire[[#This Row],[Stock initial]]+listeInventaire[[#This Row],[Entrées]]-listeInventaire[[#This Row],[Sorties]],"")</f>
        <v>98</v>
      </c>
      <c r="L9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2</v>
      </c>
      <c r="M9" s="21">
        <f>IFERROR(listeInventaire[[#This Row],[Stock final]]*listeInventaire[[#This Row],[CUMP]],"")</f>
        <v>196</v>
      </c>
      <c r="N9" s="20" t="str">
        <f>IF(listeInventaire[[#This Row],[Stock final]]&gt;listeInventaire[[#This Row],[Seuil d''alerte]],"Stock normal",IF(listeInventaire[[#This Row],[Stock final]]=0,"Non disponible","Stock faible"))</f>
        <v>Stock normal</v>
      </c>
      <c r="O9" s="9"/>
    </row>
    <row r="10" spans="1:19" ht="18" customHeight="1" x14ac:dyDescent="0.3">
      <c r="B10" s="9"/>
      <c r="C10" s="25" t="s">
        <v>56</v>
      </c>
      <c r="D10" s="20" t="str">
        <f>IFERROR(VLOOKUP(listeInventaire[[#This Row],[Référence]],listeProduits[],2,FALSE),"")</f>
        <v>Oreo</v>
      </c>
      <c r="E10" s="20" t="str">
        <f>IFERROR(VLOOKUP(listeInventaire[[#This Row],[Référence]],listeProduits[],3,FALSE),"")</f>
        <v xml:space="preserve">Biscuits </v>
      </c>
      <c r="F10" s="20" t="str">
        <f>IFERROR(VLOOKUP(listeInventaire[[#This Row],[Référence]],listeProduits[],4,FALSE),"")</f>
        <v>Pack de 20 unités</v>
      </c>
      <c r="G10" s="22">
        <f>IFERROR(VLOOKUP(listeInventaire[[#This Row],[Référence]],listeProduits[],5,FALSE),"")</f>
        <v>20</v>
      </c>
      <c r="H10" s="22">
        <f>IFERROR(VLOOKUP(listeInventaire[[#This Row],[Référence]],listeProduits[],6,FALSE),"")</f>
        <v>5</v>
      </c>
      <c r="I10" s="22">
        <f>SUMIF(listeAchats[Référence],listeInventaire[[#This Row],[Référence]],listeAchats[Quantité])</f>
        <v>320</v>
      </c>
      <c r="J10" s="22">
        <f>SUMIF(listeVentes[Référence],listeInventaire[[#This Row],[Référence]],listeVentes[Quantité])</f>
        <v>195</v>
      </c>
      <c r="K10" s="22">
        <f>IFERROR(listeInventaire[[#This Row],[Stock initial]]+listeInventaire[[#This Row],[Entrées]]-listeInventaire[[#This Row],[Sorties]],"")</f>
        <v>130</v>
      </c>
      <c r="L10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</v>
      </c>
      <c r="M10" s="21">
        <f>IFERROR(listeInventaire[[#This Row],[Stock final]]*listeInventaire[[#This Row],[CUMP]],"")</f>
        <v>520</v>
      </c>
      <c r="N10" s="20" t="str">
        <f>IF(listeInventaire[[#This Row],[Stock final]]&gt;listeInventaire[[#This Row],[Seuil d''alerte]],"Stock normal",IF(listeInventaire[[#This Row],[Stock final]]=0,"Non disponible","Stock faible"))</f>
        <v>Stock normal</v>
      </c>
      <c r="O10" s="9"/>
    </row>
    <row r="11" spans="1:19" ht="18" customHeight="1" x14ac:dyDescent="0.3">
      <c r="B11" s="9"/>
      <c r="C11" s="25" t="s">
        <v>38</v>
      </c>
      <c r="D11" s="20" t="str">
        <f>IFERROR(VLOOKUP(listeInventaire[[#This Row],[Référence]],listeProduits[],2,FALSE),"")</f>
        <v>Réfrigérateur WHIRLPOOL</v>
      </c>
      <c r="E11" s="20" t="str">
        <f>IFERROR(VLOOKUP(listeInventaire[[#This Row],[Référence]],listeProduits[],3,FALSE),"")</f>
        <v>Electro</v>
      </c>
      <c r="F11" s="20" t="str">
        <f>IFERROR(VLOOKUP(listeInventaire[[#This Row],[Référence]],listeProduits[],4,FALSE),"")</f>
        <v>1 unité</v>
      </c>
      <c r="G11" s="22">
        <f>IFERROR(VLOOKUP(listeInventaire[[#This Row],[Référence]],listeProduits[],5,FALSE),"")</f>
        <v>10</v>
      </c>
      <c r="H11" s="22">
        <f>IFERROR(VLOOKUP(listeInventaire[[#This Row],[Référence]],listeProduits[],6,FALSE),"")</f>
        <v>5</v>
      </c>
      <c r="I11" s="22">
        <f>SUMIF(listeAchats[Référence],listeInventaire[[#This Row],[Référence]],listeAchats[Quantité])</f>
        <v>24</v>
      </c>
      <c r="J11" s="22">
        <f>SUMIF(listeVentes[Référence],listeInventaire[[#This Row],[Référence]],listeVentes[Quantité])</f>
        <v>21</v>
      </c>
      <c r="K11" s="22">
        <f>IFERROR(listeInventaire[[#This Row],[Stock initial]]+listeInventaire[[#This Row],[Entrées]]-listeInventaire[[#This Row],[Sorties]],"")</f>
        <v>8</v>
      </c>
      <c r="L11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700</v>
      </c>
      <c r="M11" s="21">
        <f>IFERROR(listeInventaire[[#This Row],[Stock final]]*listeInventaire[[#This Row],[CUMP]],"")</f>
        <v>5600</v>
      </c>
      <c r="N11" s="20" t="str">
        <f>IF(listeInventaire[[#This Row],[Stock final]]&gt;listeInventaire[[#This Row],[Seuil d''alerte]],"Stock normal",IF(listeInventaire[[#This Row],[Stock final]]=0,"Non disponible","Stock faible"))</f>
        <v>Stock faible</v>
      </c>
      <c r="O11" s="9"/>
    </row>
    <row r="12" spans="1:19" ht="18" customHeight="1" x14ac:dyDescent="0.3">
      <c r="B12" s="9"/>
      <c r="C12" s="25" t="s">
        <v>39</v>
      </c>
      <c r="D12" s="20" t="str">
        <f>IFERROR(VLOOKUP(listeInventaire[[#This Row],[Référence]],listeProduits[],2,FALSE),"")</f>
        <v>Réfrigérateur SIERA</v>
      </c>
      <c r="E12" s="20" t="str">
        <f>IFERROR(VLOOKUP(listeInventaire[[#This Row],[Référence]],listeProduits[],3,FALSE),"")</f>
        <v>Electro</v>
      </c>
      <c r="F12" s="20" t="str">
        <f>IFERROR(VLOOKUP(listeInventaire[[#This Row],[Référence]],listeProduits[],4,FALSE),"")</f>
        <v>1 unité</v>
      </c>
      <c r="G12" s="22">
        <f>IFERROR(VLOOKUP(listeInventaire[[#This Row],[Référence]],listeProduits[],5,FALSE),"")</f>
        <v>10</v>
      </c>
      <c r="H12" s="22">
        <f>IFERROR(VLOOKUP(listeInventaire[[#This Row],[Référence]],listeProduits[],6,FALSE),"")</f>
        <v>3</v>
      </c>
      <c r="I12" s="22">
        <f>SUMIF(listeAchats[Référence],listeInventaire[[#This Row],[Référence]],listeAchats[Quantité])</f>
        <v>40</v>
      </c>
      <c r="J12" s="22">
        <f>SUMIF(listeVentes[Référence],listeInventaire[[#This Row],[Référence]],listeVentes[Quantité])</f>
        <v>24</v>
      </c>
      <c r="K12" s="22">
        <f>IFERROR(listeInventaire[[#This Row],[Stock initial]]+listeInventaire[[#This Row],[Entrées]]-listeInventaire[[#This Row],[Sorties]],"")</f>
        <v>19</v>
      </c>
      <c r="L12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300</v>
      </c>
      <c r="M12" s="21">
        <f>IFERROR(listeInventaire[[#This Row],[Stock final]]*listeInventaire[[#This Row],[CUMP]],"")</f>
        <v>5700</v>
      </c>
      <c r="N12" s="20" t="str">
        <f>IF(listeInventaire[[#This Row],[Stock final]]&gt;listeInventaire[[#This Row],[Seuil d''alerte]],"Stock normal",IF(listeInventaire[[#This Row],[Stock final]]=0,"Non disponible","Stock faible"))</f>
        <v>Stock normal</v>
      </c>
      <c r="O12" s="9"/>
    </row>
    <row r="13" spans="1:19" ht="19.95" customHeight="1" x14ac:dyDescent="0.3">
      <c r="B13" s="9"/>
      <c r="C13" s="25" t="s">
        <v>40</v>
      </c>
      <c r="D13" s="20" t="str">
        <f>IFERROR(VLOOKUP(listeInventaire[[#This Row],[Référence]],listeProduits[],2,FALSE),"")</f>
        <v>Cuisinière SIERA</v>
      </c>
      <c r="E13" s="20" t="str">
        <f>IFERROR(VLOOKUP(listeInventaire[[#This Row],[Référence]],listeProduits[],3,FALSE),"")</f>
        <v>Electro</v>
      </c>
      <c r="F13" s="20" t="str">
        <f>IFERROR(VLOOKUP(listeInventaire[[#This Row],[Référence]],listeProduits[],4,FALSE),"")</f>
        <v>1 unité</v>
      </c>
      <c r="G13" s="22">
        <f>IFERROR(VLOOKUP(listeInventaire[[#This Row],[Référence]],listeProduits[],5,FALSE),"")</f>
        <v>10</v>
      </c>
      <c r="H13" s="22">
        <f>IFERROR(VLOOKUP(listeInventaire[[#This Row],[Référence]],listeProduits[],6,FALSE),"")</f>
        <v>6</v>
      </c>
      <c r="I13" s="22">
        <f>SUMIF(listeAchats[Référence],listeInventaire[[#This Row],[Référence]],listeAchats[Quantité])</f>
        <v>65</v>
      </c>
      <c r="J13" s="22">
        <f>SUMIF(listeVentes[Référence],listeInventaire[[#This Row],[Référence]],listeVentes[Quantité])</f>
        <v>28</v>
      </c>
      <c r="K13" s="22">
        <f>IFERROR(listeInventaire[[#This Row],[Stock initial]]+listeInventaire[[#This Row],[Entrées]]-listeInventaire[[#This Row],[Sorties]],"")</f>
        <v>43</v>
      </c>
      <c r="L13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150</v>
      </c>
      <c r="M13" s="21">
        <f>IFERROR(listeInventaire[[#This Row],[Stock final]]*listeInventaire[[#This Row],[CUMP]],"")</f>
        <v>6450</v>
      </c>
      <c r="N13" s="20" t="str">
        <f>IF(listeInventaire[[#This Row],[Stock final]]&gt;listeInventaire[[#This Row],[Seuil d''alerte]],"Stock normal",IF(listeInventaire[[#This Row],[Stock final]]=0,"Non disponible","Stock faible"))</f>
        <v>Stock normal</v>
      </c>
      <c r="O13" s="9"/>
    </row>
    <row r="14" spans="1:19" ht="19.95" customHeight="1" x14ac:dyDescent="0.3">
      <c r="B14" s="9"/>
      <c r="C14" s="25" t="s">
        <v>41</v>
      </c>
      <c r="D14" s="20" t="str">
        <f>IFERROR(VLOOKUP(listeInventaire[[#This Row],[Référence]],listeProduits[],2,FALSE),"")</f>
        <v>Cuisinière CANDY</v>
      </c>
      <c r="E14" s="20" t="str">
        <f>IFERROR(VLOOKUP(listeInventaire[[#This Row],[Référence]],listeProduits[],3,FALSE),"")</f>
        <v>Electro</v>
      </c>
      <c r="F14" s="20" t="str">
        <f>IFERROR(VLOOKUP(listeInventaire[[#This Row],[Référence]],listeProduits[],4,FALSE),"")</f>
        <v>1 unité</v>
      </c>
      <c r="G14" s="22">
        <f>IFERROR(VLOOKUP(listeInventaire[[#This Row],[Référence]],listeProduits[],5,FALSE),"")</f>
        <v>10</v>
      </c>
      <c r="H14" s="22">
        <f>IFERROR(VLOOKUP(listeInventaire[[#This Row],[Référence]],listeProduits[],6,FALSE),"")</f>
        <v>0</v>
      </c>
      <c r="I14" s="22">
        <f>SUMIF(listeAchats[Référence],listeInventaire[[#This Row],[Référence]],listeAchats[Quantité])</f>
        <v>60</v>
      </c>
      <c r="J14" s="22">
        <f>SUMIF(listeVentes[Référence],listeInventaire[[#This Row],[Référence]],listeVentes[Quantité])</f>
        <v>60</v>
      </c>
      <c r="K14" s="22">
        <f>IFERROR(listeInventaire[[#This Row],[Stock initial]]+listeInventaire[[#This Row],[Entrées]]-listeInventaire[[#This Row],[Sorties]],"")</f>
        <v>0</v>
      </c>
      <c r="L14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500</v>
      </c>
      <c r="M14" s="21">
        <f>IFERROR(listeInventaire[[#This Row],[Stock final]]*listeInventaire[[#This Row],[CUMP]],"")</f>
        <v>0</v>
      </c>
      <c r="N14" s="20" t="str">
        <f>IF(listeInventaire[[#This Row],[Stock final]]&gt;listeInventaire[[#This Row],[Seuil d''alerte]],"Stock normal",IF(listeInventaire[[#This Row],[Stock final]]=0,"Non disponible","Stock faible"))</f>
        <v>Non disponible</v>
      </c>
      <c r="O14" s="9"/>
    </row>
    <row r="15" spans="1:19" ht="19.95" customHeight="1" x14ac:dyDescent="0.3">
      <c r="B15" s="9"/>
      <c r="C15" s="56" t="s">
        <v>35</v>
      </c>
      <c r="D15" s="20" t="str">
        <f>IFERROR(VLOOKUP(listeInventaire[[#This Row],[Référence]],listeProduits[],2,FALSE),"")</f>
        <v xml:space="preserve">PLAYSTATION PS5 </v>
      </c>
      <c r="E15" s="20" t="str">
        <f>IFERROR(VLOOKUP(listeInventaire[[#This Row],[Référence]],listeProduits[],3,FALSE),"")</f>
        <v>Consoles</v>
      </c>
      <c r="F15" s="20" t="str">
        <f>IFERROR(VLOOKUP(listeInventaire[[#This Row],[Référence]],listeProduits[],4,FALSE),"")</f>
        <v>1 unité</v>
      </c>
      <c r="G15" s="22">
        <f>IFERROR(VLOOKUP(listeInventaire[[#This Row],[Référence]],listeProduits[],5,FALSE),"")</f>
        <v>10</v>
      </c>
      <c r="H15" s="22">
        <f>IFERROR(VLOOKUP(listeInventaire[[#This Row],[Référence]],listeProduits[],6,FALSE),"")</f>
        <v>3</v>
      </c>
      <c r="I15" s="22">
        <f>SUMIF(listeAchats[Référence],listeInventaire[[#This Row],[Référence]],listeAchats[Quantité])</f>
        <v>50</v>
      </c>
      <c r="J15" s="22">
        <f>SUMIF(listeVentes[Référence],listeInventaire[[#This Row],[Référence]],listeVentes[Quantité])</f>
        <v>40</v>
      </c>
      <c r="K15" s="22">
        <f>IFERROR(listeInventaire[[#This Row],[Stock initial]]+listeInventaire[[#This Row],[Entrées]]-listeInventaire[[#This Row],[Sorties]],"")</f>
        <v>13</v>
      </c>
      <c r="L15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751.88679245283015</v>
      </c>
      <c r="M15" s="21">
        <f>IFERROR(listeInventaire[[#This Row],[Stock final]]*listeInventaire[[#This Row],[CUMP]],"")</f>
        <v>9774.5283018867922</v>
      </c>
      <c r="N15" s="20" t="str">
        <f>IF(listeInventaire[[#This Row],[Stock final]]&gt;listeInventaire[[#This Row],[Seuil d''alerte]],"Stock normal",IF(listeInventaire[[#This Row],[Stock final]]=0,"Non disponible","Stock faible"))</f>
        <v>Stock normal</v>
      </c>
      <c r="O15" s="9"/>
    </row>
    <row r="16" spans="1:19" ht="19.95" customHeight="1" x14ac:dyDescent="0.3">
      <c r="B16" s="9"/>
      <c r="C16" s="25" t="s">
        <v>36</v>
      </c>
      <c r="D16" s="20" t="str">
        <f>IFERROR(VLOOKUP(listeInventaire[[#This Row],[Référence]],listeProduits[],2,FALSE),"")</f>
        <v>NINTENDO SWITCH</v>
      </c>
      <c r="E16" s="20" t="str">
        <f>IFERROR(VLOOKUP(listeInventaire[[#This Row],[Référence]],listeProduits[],3,FALSE),"")</f>
        <v>Consoles</v>
      </c>
      <c r="F16" s="20" t="str">
        <f>IFERROR(VLOOKUP(listeInventaire[[#This Row],[Référence]],listeProduits[],4,FALSE),"")</f>
        <v>1 unité</v>
      </c>
      <c r="G16" s="22">
        <f>IFERROR(VLOOKUP(listeInventaire[[#This Row],[Référence]],listeProduits[],5,FALSE),"")</f>
        <v>10</v>
      </c>
      <c r="H16" s="22">
        <f>IFERROR(VLOOKUP(listeInventaire[[#This Row],[Référence]],listeProduits[],6,FALSE),"")</f>
        <v>6</v>
      </c>
      <c r="I16" s="22">
        <f>SUMIF(listeAchats[Référence],listeInventaire[[#This Row],[Référence]],listeAchats[Quantité])</f>
        <v>40</v>
      </c>
      <c r="J16" s="22">
        <f>SUMIF(listeVentes[Référence],listeInventaire[[#This Row],[Référence]],listeVentes[Quantité])</f>
        <v>44</v>
      </c>
      <c r="K16" s="22">
        <f>IFERROR(listeInventaire[[#This Row],[Stock initial]]+listeInventaire[[#This Row],[Entrées]]-listeInventaire[[#This Row],[Sorties]],"")</f>
        <v>2</v>
      </c>
      <c r="L16" s="21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407.06521739130437</v>
      </c>
      <c r="M16" s="21">
        <f>IFERROR(listeInventaire[[#This Row],[Stock final]]*listeInventaire[[#This Row],[CUMP]],"")</f>
        <v>814.13043478260875</v>
      </c>
      <c r="N16" s="20" t="str">
        <f>IF(listeInventaire[[#This Row],[Stock final]]&gt;listeInventaire[[#This Row],[Seuil d''alerte]],"Stock normal",IF(listeInventaire[[#This Row],[Stock final]]=0,"Non disponible","Stock faible"))</f>
        <v>Stock faible</v>
      </c>
      <c r="O16" s="9"/>
    </row>
    <row r="17" spans="2:15" x14ac:dyDescent="0.3">
      <c r="B17" s="9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9"/>
    </row>
    <row r="18" spans="2:15" x14ac:dyDescent="0.3">
      <c r="B18" s="9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9"/>
    </row>
    <row r="19" spans="2:15" x14ac:dyDescent="0.3">
      <c r="B19" s="9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9"/>
    </row>
    <row r="20" spans="2:15" x14ac:dyDescent="0.3">
      <c r="B20" s="9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9"/>
    </row>
  </sheetData>
  <mergeCells count="3">
    <mergeCell ref="H3:I3"/>
    <mergeCell ref="H4:J4"/>
    <mergeCell ref="C3:D4"/>
  </mergeCells>
  <phoneticPr fontId="14" type="noConversion"/>
  <conditionalFormatting sqref="N6:N16">
    <cfRule type="containsText" dxfId="19" priority="1" operator="containsText" text="Stock faible">
      <formula>NOT(ISERROR(SEARCH("Stock faible",N6)))</formula>
    </cfRule>
    <cfRule type="containsText" dxfId="18" priority="2" operator="containsText" text="Stock normal">
      <formula>NOT(ISERROR(SEARCH("Stock normal",N6)))</formula>
    </cfRule>
    <cfRule type="containsText" dxfId="17" priority="3" operator="containsText" text="Non disponible">
      <formula>NOT(ISERROR(SEARCH("Non disponible",N6)))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1386F5-9FF7-4D23-B53A-FEEFBA46D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Opérations</vt:lpstr>
      <vt:lpstr>Marchandises</vt:lpstr>
      <vt:lpstr>Entrées</vt:lpstr>
      <vt:lpstr>Sorties</vt:lpstr>
      <vt:lpstr>Inventaire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Hassan EL BAHI</cp:lastModifiedBy>
  <dcterms:created xsi:type="dcterms:W3CDTF">2015-06-05T18:19:34Z</dcterms:created>
  <dcterms:modified xsi:type="dcterms:W3CDTF">2022-05-30T01:19:06Z</dcterms:modified>
</cp:coreProperties>
</file>