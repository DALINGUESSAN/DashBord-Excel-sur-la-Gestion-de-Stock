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PEREUR DALIKAN\Downloads\Tableau-de-bord-gestion-de-stock\Tableau de bord - gestion de stock\"/>
    </mc:Choice>
  </mc:AlternateContent>
  <xr:revisionPtr revIDLastSave="0" documentId="8_{610E81E5-C8C4-466F-9E2F-2420DD2A20C2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Tableau de Bord" sheetId="13" r:id="rId1"/>
    <sheet name="Opérations" sheetId="8" r:id="rId2"/>
    <sheet name="Marchandises" sheetId="9" r:id="rId3"/>
    <sheet name="Entrées" sheetId="10" r:id="rId4"/>
    <sheet name="Sorties" sheetId="11" r:id="rId5"/>
    <sheet name="Inventaire " sheetId="12" r:id="rId6"/>
    <sheet name="Traitement" sheetId="14" r:id="rId7"/>
  </sheets>
  <externalReferences>
    <externalReference r:id="rId8"/>
  </externalReferences>
  <definedNames>
    <definedName name="_xlcn.WorksheetConnection_Gestiondestock.xlsmlesCategories1" hidden="1">LesCategories[]</definedName>
    <definedName name="_xlcn.WorksheetConnection_Gestiondestock.xlsmlesMois1" hidden="1">LesMois[]</definedName>
    <definedName name="_xlcn.WorksheetConnection_Gestiondestock.xlsmlesReferences1" hidden="1">LesReferences[]</definedName>
    <definedName name="_xlcn.WorksheetConnection_Gestiondestock.xlsmlisteAchats1" hidden="1">listeAchats[]</definedName>
    <definedName name="_xlcn.WorksheetConnection_Gestiondestock.xlsmlisteVentes1" hidden="1">listeVentes[]</definedName>
    <definedName name="Segment_Catégories">#N/A</definedName>
    <definedName name="Segment_Mois">#N/A</definedName>
    <definedName name="Segment_Référence">#N/A</definedName>
  </definedNames>
  <calcPr calcId="191029"/>
  <pivotCaches>
    <pivotCache cacheId="498" r:id="rId9"/>
    <pivotCache cacheId="392" r:id="rId10"/>
    <pivotCache cacheId="692" r:id="rId11"/>
    <pivotCache cacheId="694" r:id="rId12"/>
    <pivotCache cacheId="696" r:id="rId13"/>
    <pivotCache cacheId="698" r:id="rId14"/>
    <pivotCache cacheId="766" r:id="rId15"/>
    <pivotCache cacheId="769" r:id="rId16"/>
    <pivotCache cacheId="772" r:id="rId17"/>
    <pivotCache cacheId="775" r:id="rId18"/>
    <pivotCache cacheId="778" r:id="rId19"/>
    <pivotCache cacheId="781" r:id="rId20"/>
    <pivotCache cacheId="784" r:id="rId21"/>
  </pivotCaches>
  <extLst>
    <ext xmlns:x14="http://schemas.microsoft.com/office/spreadsheetml/2009/9/main" uri="{876F7934-8845-4945-9796-88D515C7AA90}">
      <x14:pivotCaches>
        <pivotCache cacheId="81" r:id="rId22"/>
        <pivotCache cacheId="499" r:id="rId23"/>
      </x14:pivotCaches>
    </ex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</x15:modelTables>
        <x15:modelRelationships>
          <x15:modelRelationship fromTable="listeAchats" fromColumn="Catégorie" toTable="lesCategories" toColumn="Catégorie"/>
          <x15:modelRelationship fromTable="listeAchats" fromColumn="Référence" toTable="lesReferences" toColumn="Référence"/>
          <x15:modelRelationship fromTable="listeAchats" fromColumn="Date (mois)" toTable="lesMois" toColumn="Mois"/>
          <x15:modelRelationship fromTable="listeVentes" fromColumn="Catégorie" toTable="lesCategories" toColumn="Catégorie"/>
          <x15:modelRelationship fromTable="listeVentes" fromColumn="Référence" toTable="lesReferences" toColumn="Référence"/>
          <x15:modelRelationship fromTable="listeVentes" fromColumn="Date (mois)" toTable="les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12" i="14" l="1"/>
  <c r="G112" i="14" s="1"/>
  <c r="F113" i="14"/>
  <c r="G113" i="14" s="1"/>
  <c r="D111" i="14" a="1"/>
  <c r="D111" i="14" s="1"/>
  <c r="F111" i="14" s="1"/>
  <c r="G111" i="14" s="1"/>
  <c r="F72" i="14"/>
  <c r="F73" i="14"/>
  <c r="F74" i="14"/>
  <c r="F75" i="14"/>
  <c r="F71" i="14"/>
  <c r="F65" i="14"/>
  <c r="F66" i="14"/>
  <c r="F67" i="14"/>
  <c r="F55" i="14"/>
  <c r="F56" i="14"/>
  <c r="F57" i="14"/>
  <c r="F58" i="14"/>
  <c r="F59" i="14"/>
  <c r="F18" i="14"/>
  <c r="E6" i="12"/>
  <c r="K7" i="11"/>
  <c r="K7" i="10"/>
  <c r="K8" i="11"/>
  <c r="K8" i="10"/>
  <c r="G72" i="14" l="1"/>
  <c r="G75" i="14"/>
  <c r="G71" i="14"/>
  <c r="G73" i="14"/>
  <c r="G74" i="14"/>
  <c r="G67" i="14"/>
  <c r="G55" i="14"/>
  <c r="G65" i="14"/>
  <c r="G66" i="14"/>
  <c r="G59" i="14"/>
  <c r="G58" i="14"/>
  <c r="G56" i="14"/>
  <c r="G57" i="14"/>
  <c r="K9" i="11"/>
  <c r="D6" i="12"/>
  <c r="F6" i="12"/>
  <c r="G6" i="12"/>
  <c r="H6" i="12"/>
  <c r="I6" i="12"/>
  <c r="J6" i="12"/>
  <c r="D7" i="12"/>
  <c r="E7" i="12"/>
  <c r="F7" i="12"/>
  <c r="G7" i="12"/>
  <c r="H7" i="12"/>
  <c r="I7" i="12"/>
  <c r="J7" i="12"/>
  <c r="K6" i="12" l="1"/>
  <c r="K7" i="12"/>
  <c r="N7" i="12" s="1"/>
  <c r="E15" i="12"/>
  <c r="K10" i="11"/>
  <c r="N6" i="12" l="1"/>
  <c r="K11" i="11"/>
  <c r="K12" i="11"/>
  <c r="K13" i="11"/>
  <c r="K14" i="11"/>
  <c r="K15" i="11"/>
  <c r="K9" i="10"/>
  <c r="K10" i="10"/>
  <c r="K11" i="10"/>
  <c r="K12" i="10"/>
  <c r="K13" i="10"/>
  <c r="K16" i="11"/>
  <c r="K17" i="11"/>
  <c r="K18" i="11"/>
  <c r="K19" i="11"/>
  <c r="K20" i="11"/>
  <c r="K14" i="10"/>
  <c r="K15" i="10"/>
  <c r="K16" i="10"/>
  <c r="K17" i="10"/>
  <c r="K18" i="10"/>
  <c r="K21" i="11"/>
  <c r="K22" i="11"/>
  <c r="K23" i="11"/>
  <c r="K24" i="11"/>
  <c r="K25" i="11"/>
  <c r="K19" i="10"/>
  <c r="K20" i="10"/>
  <c r="K21" i="10"/>
  <c r="K22" i="10"/>
  <c r="K23" i="10"/>
  <c r="K26" i="11"/>
  <c r="K27" i="11"/>
  <c r="K28" i="11"/>
  <c r="K29" i="11"/>
  <c r="K30" i="11"/>
  <c r="K24" i="10"/>
  <c r="K25" i="10"/>
  <c r="K26" i="10"/>
  <c r="K27" i="10"/>
  <c r="K28" i="10"/>
  <c r="K31" i="11"/>
  <c r="K32" i="11"/>
  <c r="K33" i="11"/>
  <c r="K34" i="11"/>
  <c r="K35" i="11"/>
  <c r="K29" i="10"/>
  <c r="K30" i="10"/>
  <c r="K31" i="10"/>
  <c r="K32" i="10"/>
  <c r="K33" i="10"/>
  <c r="K36" i="11"/>
  <c r="K37" i="11"/>
  <c r="K38" i="11"/>
  <c r="K39" i="11"/>
  <c r="K40" i="11"/>
  <c r="K34" i="10"/>
  <c r="K35" i="10"/>
  <c r="K36" i="10"/>
  <c r="K37" i="10"/>
  <c r="K38" i="10"/>
  <c r="K41" i="11"/>
  <c r="K42" i="11"/>
  <c r="K43" i="11"/>
  <c r="K44" i="11"/>
  <c r="K39" i="10"/>
  <c r="K40" i="10"/>
  <c r="K41" i="10"/>
  <c r="K42" i="10"/>
  <c r="K43" i="10"/>
  <c r="K45" i="11"/>
  <c r="K46" i="11"/>
  <c r="K47" i="11"/>
  <c r="K48" i="11"/>
  <c r="K49" i="11"/>
  <c r="K50" i="11"/>
  <c r="K44" i="10"/>
  <c r="K45" i="10"/>
  <c r="K46" i="10"/>
  <c r="K47" i="10"/>
  <c r="K48" i="10"/>
  <c r="K51" i="11"/>
  <c r="K52" i="11"/>
  <c r="K53" i="11"/>
  <c r="K54" i="11"/>
  <c r="K55" i="11"/>
  <c r="K56" i="11"/>
  <c r="K57" i="11"/>
  <c r="K58" i="11"/>
  <c r="K59" i="11"/>
  <c r="K60" i="11"/>
  <c r="K61" i="11"/>
  <c r="K62" i="11"/>
  <c r="C62" i="1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C7" i="11" s="1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C61" i="10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J13" i="12"/>
  <c r="J14" i="12"/>
  <c r="J15" i="12"/>
  <c r="J16" i="12"/>
  <c r="I13" i="12"/>
  <c r="I14" i="12"/>
  <c r="I15" i="12"/>
  <c r="I16" i="12"/>
  <c r="H15" i="12"/>
  <c r="G15" i="12"/>
  <c r="F15" i="12"/>
  <c r="D15" i="12"/>
  <c r="J15" i="9"/>
  <c r="J16" i="9"/>
  <c r="J17" i="9"/>
  <c r="J18" i="9"/>
  <c r="J19" i="9"/>
  <c r="J20" i="9"/>
  <c r="J21" i="9"/>
  <c r="E8" i="12"/>
  <c r="H13" i="12"/>
  <c r="H14" i="12"/>
  <c r="H16" i="12"/>
  <c r="G13" i="12"/>
  <c r="G14" i="12"/>
  <c r="G16" i="12"/>
  <c r="F13" i="12"/>
  <c r="F14" i="12"/>
  <c r="F16" i="12"/>
  <c r="E13" i="12"/>
  <c r="E14" i="12"/>
  <c r="E16" i="12"/>
  <c r="D13" i="12"/>
  <c r="D14" i="12"/>
  <c r="D16" i="12"/>
  <c r="J8" i="12"/>
  <c r="J9" i="12"/>
  <c r="J10" i="12"/>
  <c r="J11" i="12"/>
  <c r="J12" i="12"/>
  <c r="I8" i="12"/>
  <c r="I9" i="12"/>
  <c r="I10" i="12"/>
  <c r="I11" i="12"/>
  <c r="I12" i="12"/>
  <c r="L7" i="12" l="1"/>
  <c r="M7" i="12" s="1"/>
  <c r="L14" i="12"/>
  <c r="L13" i="12"/>
  <c r="L12" i="12"/>
  <c r="L11" i="12"/>
  <c r="L16" i="12"/>
  <c r="L15" i="12"/>
  <c r="K15" i="12"/>
  <c r="K14" i="12"/>
  <c r="N14" i="12" s="1"/>
  <c r="K13" i="12"/>
  <c r="K16" i="12"/>
  <c r="H8" i="12"/>
  <c r="K8" i="12" s="1"/>
  <c r="H9" i="12"/>
  <c r="K9" i="12" s="1"/>
  <c r="H10" i="12"/>
  <c r="K10" i="12" s="1"/>
  <c r="H11" i="12"/>
  <c r="K11" i="12" s="1"/>
  <c r="H12" i="12"/>
  <c r="K12" i="12" s="1"/>
  <c r="G8" i="12"/>
  <c r="G9" i="12"/>
  <c r="G10" i="12"/>
  <c r="G11" i="12"/>
  <c r="G12" i="12"/>
  <c r="F8" i="12"/>
  <c r="F9" i="12"/>
  <c r="F10" i="12"/>
  <c r="F11" i="12"/>
  <c r="F12" i="12"/>
  <c r="E9" i="12"/>
  <c r="E10" i="12"/>
  <c r="E11" i="12"/>
  <c r="E12" i="12"/>
  <c r="D8" i="12"/>
  <c r="D9" i="12"/>
  <c r="D10" i="12"/>
  <c r="D11" i="12"/>
  <c r="D12" i="12"/>
  <c r="J22" i="9"/>
  <c r="L6" i="12" s="1"/>
  <c r="M6" i="12" s="1"/>
  <c r="J23" i="9"/>
  <c r="L8" i="12" s="1"/>
  <c r="J24" i="9"/>
  <c r="J25" i="9"/>
  <c r="F9" i="9"/>
  <c r="K63" i="11"/>
  <c r="G10" i="8"/>
  <c r="I16" i="8"/>
  <c r="G16" i="8"/>
  <c r="G13" i="8"/>
  <c r="M13" i="12" l="1"/>
  <c r="M12" i="12"/>
  <c r="M11" i="12"/>
  <c r="M16" i="12"/>
  <c r="M15" i="12"/>
  <c r="N13" i="12"/>
  <c r="N16" i="12"/>
  <c r="N15" i="12"/>
  <c r="M14" i="12"/>
  <c r="M8" i="12"/>
  <c r="N12" i="12"/>
  <c r="N11" i="12"/>
  <c r="N10" i="12"/>
  <c r="N9" i="12"/>
  <c r="N8" i="12"/>
  <c r="K66" i="11"/>
  <c r="K65" i="11"/>
  <c r="K64" i="11"/>
  <c r="K62" i="10"/>
  <c r="L9" i="12" s="1"/>
  <c r="M9" i="12" s="1"/>
  <c r="K63" i="10"/>
  <c r="L10" i="12" s="1"/>
  <c r="M10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5283EC-63F0-4A64-BD87-0AE9A3E59407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DA2BBE7-5FFF-42D0-96E9-6425BF6E9C6A}" name="WorksheetConnection_Gestion de stock.xlsm!lesCategories" type="102" refreshedVersion="8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1"/>
        </x15:connection>
      </ext>
    </extLst>
  </connection>
  <connection id="3" xr16:uid="{9F90B5BD-2738-4FE8-A63F-417D428A9782}" name="WorksheetConnection_Gestion de stock.xlsm!lesMois" type="102" refreshedVersion="8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1"/>
        </x15:connection>
      </ext>
    </extLst>
  </connection>
  <connection id="4" xr16:uid="{03528C0E-25B5-4CEF-AB08-B74E3CF84EB3}" name="WorksheetConnection_Gestion de stock.xlsm!lesReferences" type="102" refreshedVersion="8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1"/>
        </x15:connection>
      </ext>
    </extLst>
  </connection>
  <connection id="5" xr16:uid="{D4278434-B34D-4E4F-B26B-AEC93FAAAA41}" name="WorksheetConnection_Gestion de stock.xlsm!listeAchats" type="102" refreshedVersion="8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1"/>
        </x15:connection>
      </ext>
    </extLst>
  </connection>
  <connection id="6" xr16:uid="{8A4DF0C2-07BF-439C-9DCF-BCAACFA7D594}" name="WorksheetConnection_Gestion de stock.xlsm!listeVentes" type="102" refreshedVersion="8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<sst xmlns="http://schemas.openxmlformats.org/spreadsheetml/2006/main" count="724" uniqueCount="85">
  <si>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</si>
  <si>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</si>
  <si>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</si>
  <si>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</si>
  <si>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</si>
  <si>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</si>
  <si>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</si>
  <si>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</si>
  <si>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</si>
  <si>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</si>
  <si>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</si>
  <si>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</si>
  <si>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</si>
  <si>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</si>
  <si>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</si>
  <si>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</si>
  <si>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</si>
  <si>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</si>
  <si>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</si>
  <si>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</si>
  <si>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</si>
  <si>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</si>
  <si>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</si>
  <si>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</si>
  <si>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</si>
  <si>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</si>
  <si>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</si>
  <si>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</si>
  <si>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</si>
  <si>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</si>
  <si>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</si>
  <si>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</si>
  <si>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</si>
  <si>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</si>
  <si>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</si>
  <si>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</si>
  <si>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</si>
  <si>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</si>
  <si>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</si>
  <si>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</si>
  <si>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</si>
  <si>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</si>
  <si>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</si>
  <si>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</si>
  <si>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</si>
  <si>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</si>
  <si>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</si>
  <si>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</si>
  <si>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</si>
  <si>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</si>
  <si>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</si>
  <si>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</si>
  <si>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</si>
  <si>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</si>
  <si>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</si>
  <si>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</si>
  <si>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</si>
  <si>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</si>
  <si>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</si>
  <si>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</si>
  <si>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</si>
  <si>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</si>
  <si>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</si>
  <si>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</si>
  <si>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</si>
  <si>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</si>
  <si>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</si>
  <si>
    <t>Somme de Stock final</t>
  </si>
  <si>
    <t>Somme de Valeur</t>
  </si>
  <si>
    <t>Somme de Total</t>
  </si>
  <si>
    <t>Somme de Quantité</t>
  </si>
  <si>
    <t xml:space="preserve"> </t>
  </si>
  <si>
    <t>Mois</t>
  </si>
  <si>
    <t>janv</t>
  </si>
  <si>
    <t>févr</t>
  </si>
  <si>
    <t>mars</t>
  </si>
  <si>
    <t>avr</t>
  </si>
  <si>
    <t>mai</t>
  </si>
  <si>
    <t>Étiquettes de lignes</t>
  </si>
  <si>
    <t>Total général</t>
  </si>
  <si>
    <t>Biscuits</t>
  </si>
  <si>
    <t>Max</t>
  </si>
  <si>
    <t>Somme de Total2</t>
  </si>
  <si>
    <t>(Plusieurs éléments)</t>
  </si>
  <si>
    <t>Dernière mise a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</si>
</sst>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.00\ [$€-40C]_-;\-* #,##0.00\ [$€-40C]_-;_-* &quot;-&quot;??\ [$€-40C]_-;_-@_-"/>
    <numFmt numFmtId="168" formatCode="_-* #,##0\ [$€-40C]_-;\-* #,##0\ [$€-40C]_-;_-* &quot;-&quot;??\ [$€-40C]_-;_-@_-"/>
    <numFmt numFmtId="171" formatCode="#,##0\ &quot;€&quot;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0" fillId="3" borderId="0" xfId="0" applyFill="1" applyAlignment="1"/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 applyAlignment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 applyAlignment="1"/>
    <xf numFmtId="0" fontId="19" fillId="3" borderId="0" xfId="0" applyFont="1" applyFill="1" applyAlignment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Border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Border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164" fontId="12" fillId="3" borderId="0" xfId="0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164" fontId="12" fillId="3" borderId="0" xfId="0" applyNumberFormat="1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164" fontId="12" fillId="3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right" vertical="center"/>
    </xf>
    <xf numFmtId="14" fontId="12" fillId="3" borderId="0" xfId="0" applyNumberFormat="1" applyFont="1" applyFill="1" applyBorder="1" applyAlignment="1">
      <alignment horizontal="center"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10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1" fillId="0" borderId="0" xfId="0" applyFont="1"/>
    <xf numFmtId="168" fontId="0" fillId="0" borderId="0" xfId="0" applyNumberFormat="1"/>
    <xf numFmtId="171" fontId="0" fillId="0" borderId="0" xfId="0" applyNumberFormat="1"/>
    <xf numFmtId="0" fontId="22" fillId="2" borderId="0" xfId="0" applyFont="1" applyFill="1" applyAlignment="1">
      <alignment horizontal="center" vertical="center"/>
    </xf>
    <xf numFmtId="14" fontId="0" fillId="2" borderId="0" xfId="0" applyNumberFormat="1" applyFill="1"/>
  </cellXfs>
  <cellStyles count="2">
    <cellStyle name="Normal" xfId="0" builtinId="0"/>
    <cellStyle name="Pourcentage" xfId="1" builtinId="5"/>
  </cellStyles>
  <dxfs count="85"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71" formatCode="#,##0\ &quot;€&quot;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71" formatCode="#,##0\ &quot;€&quot;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71" formatCode="#,##0\ &quot;€&quot;"/>
    </dxf>
    <dxf>
      <numFmt numFmtId="168" formatCode="_-* #,##0\ [$€-40C]_-;\-* #,##0\ [$€-40C]_-;_-* &quot;-&quot;??\ [$€-40C]_-;_-@_-"/>
    </dxf>
    <dxf>
      <numFmt numFmtId="168" formatCode="_-* #,##0\ [$€-40C]_-;\-* #,##0\ [$€-40C]_-;_-* &quot;-&quot;??\ [$€-40C]_-;_-@_-"/>
    </dxf>
    <dxf>
      <font>
        <color rgb="FFFF0000"/>
      </font>
    </dxf>
    <dxf>
      <font>
        <color rgb="FF01B300"/>
      </font>
    </dxf>
    <dxf>
      <font>
        <color rgb="FFFF7F00"/>
      </font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b/>
        <i val="0"/>
        <sz val="11"/>
        <color theme="1"/>
        <name val="Product San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tyle 1" pivot="0" table="0" count="10" xr9:uid="{68B2A081-750C-4C21-A5DE-8D839AE1BF58}">
      <tableStyleElement type="wholeTable" dxfId="84"/>
      <tableStyleElement type="headerRow" dxfId="83"/>
    </tableStyle>
    <tableStyle name="Style2" pivot="0" table="0" count="10" xr9:uid="{F66BDEEA-2B58-4DB5-A0C3-939AA66587FC}">
      <tableStyleElement type="wholeTable" dxfId="15"/>
      <tableStyleElement type="headerRow" dxfId="14"/>
    </tableStyle>
    <tableStyle name="Style3" pivot="0" table="0" count="10" xr9:uid="{7F652A90-6AE8-464D-AB54-7DFB6859E687}">
      <tableStyleElement type="wholeTable" dxfId="17"/>
      <tableStyleElement type="headerRow" dxfId="16"/>
    </tableStyle>
  </tableStyles>
  <colors>
    <mruColors>
      <color rgb="FFFFFCF7"/>
      <color rgb="FFF2E9FF"/>
      <color rgb="FF51459E"/>
      <color rgb="FFE2E2E2"/>
      <color rgb="FFFFFFFF"/>
      <color rgb="FFE9F4FF"/>
      <color rgb="FFFAFAFA"/>
      <color rgb="FF999999"/>
      <color rgb="FFA6A6A6"/>
      <color rgb="FFF5F5F5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1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  <x14:slicerStyle name="Style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microsoft.com/office/2007/relationships/slicerCache" Target="slicerCaches/slicerCache3.xml"/><Relationship Id="rId39" Type="http://schemas.openxmlformats.org/officeDocument/2006/relationships/customXml" Target="../customXml/item6.xml"/><Relationship Id="rId21" Type="http://schemas.openxmlformats.org/officeDocument/2006/relationships/pivotCacheDefinition" Target="pivotCache/pivotCacheDefinition13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microsoft.com/office/2007/relationships/slicerCache" Target="slicerCaches/slicerCache2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openxmlformats.org/officeDocument/2006/relationships/pivotCacheDefinition" Target="pivotCache/pivotCacheDefinition1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1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openxmlformats.org/officeDocument/2006/relationships/pivotCacheDefinition" Target="pivotCache/pivotCacheDefinition1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2.xml"/><Relationship Id="rId19" Type="http://schemas.openxmlformats.org/officeDocument/2006/relationships/pivotCacheDefinition" Target="pivotCache/pivotCacheDefinition1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openxmlformats.org/officeDocument/2006/relationships/pivotCacheDefinition" Target="pivotCache/pivotCacheDefinition1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2.xml"/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stock.xlsm]Traitement!StockTotalCategories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3348766108824917E-2"/>
          <c:y val="0.158406170005569"/>
          <c:w val="0.3550073047957773"/>
          <c:h val="0.55443721467839424"/>
        </c:manualLayout>
      </c:layout>
      <c:pieChart>
        <c:varyColors val="1"/>
        <c:ser>
          <c:idx val="0"/>
          <c:order val="0"/>
          <c:tx>
            <c:strRef>
              <c:f>Traitement!$B$12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F5-49AA-8D37-233BD90D2A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F5-49AA-8D37-233BD90D2A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3F5-49AA-8D37-233BD90D2A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3F5-49AA-8D37-233BD90D2A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Traitement!$A$13:$A$17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Traitement!$B$13:$B$17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F5-49AA-8D37-233BD90D2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3391670756814531"/>
          <c:w val="0.64596666797452895"/>
          <c:h val="0.12875044531046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stock.xlsm]Traitement!StockValeurCategories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C1-41CB-97F8-BD6DED2E7B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C1-41CB-97F8-BD6DED2E7B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C1-41CB-97F8-BD6DED2E7B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7C1-41CB-97F8-BD6DED2E7B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Traitement!$A$20:$A$24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Traitement!$B$20:$B$24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1-41CB-97F8-BD6DED2E7B1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12859658097535E-2"/>
          <c:y val="0.68605343279087094"/>
          <c:w val="0.79852407924445357"/>
          <c:h val="0.26470035099238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stock.xlsm]Traitement!EntreeTotalCategories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Traitement!$B$26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AE-4F5A-9EAD-1920237328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AE-4F5A-9EAD-1920237328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AE-4F5A-9EAD-1920237328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9AE-4F5A-9EAD-1920237328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Traitement!$A$27:$A$31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Traitement!$B$27:$B$31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AE-4F5A-9EAD-192023732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251129343150178"/>
          <c:y val="0.80060074426244776"/>
          <c:w val="0.7349769888510379"/>
          <c:h val="0.118749656022048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stock.xlsm]Traitement!EntreeValeurCategories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49-4237-B28C-B76D64AB17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49-4237-B28C-B76D64AB17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49-4237-B28C-B76D64AB17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49-4237-B28C-B76D64AB17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Traitement!$A$34:$A$38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Traitement!$B$34:$B$38</c:f>
              <c:numCache>
                <c:formatCode>_-* #\ ##0.00\ [$€-40C]_-;\-* #\ ##0.00\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49-4237-B28C-B76D64AB17A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stock.xlsm]Traitement!SortieTotalCategories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1A-49B5-9FE8-BC375D7991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1A-49B5-9FE8-BC375D7991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1A-49B5-9FE8-BC375D7991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1A-49B5-9FE8-BC375D7991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Traitement!$A$41:$A$45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Traitement!$B$41:$B$45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1A-49B5-9FE8-BC375D7991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stock.xlsm]Traitement!SortieValeurCategories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0B8-453A-8C2D-7113618467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B8-453A-8C2D-7113618467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B8-453A-8C2D-7113618467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0B8-453A-8C2D-7113618467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Traitement!$A$48:$A$52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Traitement!$B$48:$B$52</c:f>
              <c:numCache>
                <c:formatCode>_-* #\ ##0.00\ [$€-40C]_-;\-* #\ ##0.00\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B8-453A-8C2D-7113618467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734463276836158"/>
          <c:y val="0.80320324400866783"/>
          <c:w val="0.79265536723163854"/>
          <c:h val="0.14230084318479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Traitement!$E$55:$E$59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Traitement!$F$55:$F$59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5-4DB8-8E01-35EC5F4C5AED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Traitement!$E$55:$E$59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Traitement!$G$55:$G$59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5-4DB8-8E01-35EC5F4C5AE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384997440"/>
        <c:axId val="1384996480"/>
      </c:barChart>
      <c:catAx>
        <c:axId val="138499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996480"/>
        <c:crosses val="autoZero"/>
        <c:auto val="1"/>
        <c:lblAlgn val="ctr"/>
        <c:lblOffset val="100"/>
        <c:noMultiLvlLbl val="0"/>
      </c:catAx>
      <c:valAx>
        <c:axId val="1384996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849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E9F4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Traitement!$E$71:$E$75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Traitement!$F$71:$F$75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F-49E1-9EF5-9AC25434F2ED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Traitement!$E$71:$E$75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Traitement!$G$71:$G$75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8F-49E1-9EF5-9AC25434F2E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17720239"/>
        <c:axId val="117711119"/>
      </c:barChart>
      <c:catAx>
        <c:axId val="11772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711119"/>
        <c:crosses val="autoZero"/>
        <c:auto val="1"/>
        <c:lblAlgn val="ctr"/>
        <c:lblOffset val="100"/>
        <c:noMultiLvlLbl val="0"/>
      </c:catAx>
      <c:valAx>
        <c:axId val="117711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72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stock.xlsm]Traitement!ValeurEntréeMois</c:name>
    <c:fmtId val="7"/>
  </c:pivotSource>
  <c:chart>
    <c:autoTitleDeleted val="0"/>
    <c:pivotFmts>
      <c:pivotFmt>
        <c:idx val="0"/>
        <c:spPr>
          <a:gradFill>
            <a:gsLst>
              <a:gs pos="75000">
                <a:srgbClr val="E2E2E2">
                  <a:alpha val="50000"/>
                  <a:lumMod val="25000"/>
                  <a:lumOff val="75000"/>
                </a:srgbClr>
              </a:gs>
              <a:gs pos="0">
                <a:schemeClr val="accent1"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5000">
                <a:srgbClr val="E2E2E2">
                  <a:alpha val="50000"/>
                  <a:lumMod val="25000"/>
                  <a:lumOff val="75000"/>
                </a:srgbClr>
              </a:gs>
              <a:gs pos="0">
                <a:schemeClr val="accent1"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75000">
                <a:srgbClr val="E2E2E2">
                  <a:alpha val="50000"/>
                  <a:lumMod val="25000"/>
                  <a:lumOff val="75000"/>
                </a:srgbClr>
              </a:gs>
              <a:gs pos="0">
                <a:schemeClr val="accent1"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Traitement!$B$78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rgbClr val="E2E2E2">
                    <a:alpha val="50000"/>
                    <a:lumMod val="25000"/>
                    <a:lumOff val="75000"/>
                  </a:srgbClr>
                </a:gs>
                <a:gs pos="0">
                  <a:schemeClr val="accent1"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Traitement!$A$79:$A$84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Traitement!$B$79:$B$84</c:f>
              <c:numCache>
                <c:formatCode>_-* #\ ##0\ [$€-40C]_-;\-* #\ ##0\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E-43B0-91C9-A82B2CAB4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3439"/>
        <c:axId val="229367759"/>
      </c:areaChart>
      <c:lineChart>
        <c:grouping val="standard"/>
        <c:varyColors val="0"/>
        <c:ser>
          <c:idx val="1"/>
          <c:order val="1"/>
          <c:tx>
            <c:strRef>
              <c:f>Traitement!$C$78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Traitement!$A$79:$A$84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Traitement!$C$79:$C$84</c:f>
              <c:numCache>
                <c:formatCode>_-* #\ ##0\ [$€-40C]_-;\-* #\ ##0\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63E-43B0-91C9-A82B2CAB4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363439"/>
        <c:axId val="229367759"/>
      </c:lineChart>
      <c:catAx>
        <c:axId val="22936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367759"/>
        <c:crosses val="autoZero"/>
        <c:auto val="1"/>
        <c:lblAlgn val="ctr"/>
        <c:lblOffset val="100"/>
        <c:noMultiLvlLbl val="0"/>
      </c:catAx>
      <c:valAx>
        <c:axId val="229367759"/>
        <c:scaling>
          <c:orientation val="minMax"/>
        </c:scaling>
        <c:delete val="1"/>
        <c:axPos val="l"/>
        <c:numFmt formatCode="_-* #\ ##0\ [$€-40C]_-;\-* #\ ##0\ [$€-40C]_-;_-* &quot;-&quot;??\ [$€-40C]_-;_-@_-" sourceLinked="1"/>
        <c:majorTickMark val="none"/>
        <c:minorTickMark val="none"/>
        <c:tickLblPos val="nextTo"/>
        <c:crossAx val="22936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stock.xlsm]Traitement!ValeurSortieMois</c:name>
    <c:fmtId val="8"/>
  </c:pivotSource>
  <c:chart>
    <c:autoTitleDeleted val="0"/>
    <c:pivotFmts>
      <c:pivotFmt>
        <c:idx val="0"/>
        <c:spPr>
          <a:gradFill>
            <a:gsLst>
              <a:gs pos="0">
                <a:srgbClr val="51459E">
                  <a:lumMod val="25000"/>
                  <a:lumOff val="75000"/>
                </a:srgbClr>
              </a:gs>
              <a:gs pos="55000">
                <a:srgbClr val="FFFCF7">
                  <a:lumMod val="25000"/>
                  <a:lumOff val="7500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51459E">
                  <a:lumMod val="25000"/>
                  <a:lumOff val="75000"/>
                </a:srgbClr>
              </a:gs>
              <a:gs pos="55000">
                <a:srgbClr val="FFFCF7">
                  <a:lumMod val="25000"/>
                  <a:lumOff val="7500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rgbClr val="51459E">
                  <a:lumMod val="25000"/>
                  <a:lumOff val="75000"/>
                </a:srgbClr>
              </a:gs>
              <a:gs pos="55000">
                <a:srgbClr val="FFFCF7">
                  <a:lumMod val="25000"/>
                  <a:lumOff val="7500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Traitement!$B$87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rgbClr val="51459E">
                    <a:lumMod val="25000"/>
                    <a:lumOff val="75000"/>
                  </a:srgbClr>
                </a:gs>
                <a:gs pos="55000">
                  <a:srgbClr val="FFFCF7">
                    <a:lumMod val="25000"/>
                    <a:lumOff val="7500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Traitement!$A$88:$A$93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Traitement!$B$88:$B$93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7-467A-93ED-48328665F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156703"/>
        <c:axId val="238147583"/>
      </c:areaChart>
      <c:lineChart>
        <c:grouping val="standard"/>
        <c:varyColors val="0"/>
        <c:ser>
          <c:idx val="1"/>
          <c:order val="1"/>
          <c:tx>
            <c:strRef>
              <c:f>Traitement!$C$87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Traitement!$A$88:$A$93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Traitement!$C$88:$C$93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4B7-467A-93ED-48328665F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6703"/>
        <c:axId val="238147583"/>
      </c:lineChart>
      <c:catAx>
        <c:axId val="238156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147583"/>
        <c:crosses val="autoZero"/>
        <c:auto val="1"/>
        <c:lblAlgn val="ctr"/>
        <c:lblOffset val="100"/>
        <c:noMultiLvlLbl val="0"/>
      </c:catAx>
      <c:valAx>
        <c:axId val="238147583"/>
        <c:scaling>
          <c:orientation val="minMax"/>
        </c:scaling>
        <c:delete val="1"/>
        <c:axPos val="l"/>
        <c:numFmt formatCode="_-* #\ ##0\ [$€-40C]_-;\-* #\ ##0\ [$€-40C]_-;_-* &quot;-&quot;??\ [$€-40C]_-;_-@_-" sourceLinked="1"/>
        <c:majorTickMark val="none"/>
        <c:minorTickMark val="none"/>
        <c:tickLblPos val="nextTo"/>
        <c:crossAx val="23815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stock.xlsm]Traitement!Top3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Traitement!$B$95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Traitement!$A$96:$A$99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Traitement!$B$96:$B$99</c:f>
              <c:numCache>
                <c:formatCode>#\ ##0\ "€"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8B-4CD9-BC1E-369795B7B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17713519"/>
        <c:axId val="117730319"/>
      </c:barChart>
      <c:catAx>
        <c:axId val="117713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730319"/>
        <c:crosses val="autoZero"/>
        <c:auto val="1"/>
        <c:lblAlgn val="ctr"/>
        <c:lblOffset val="100"/>
        <c:noMultiLvlLbl val="0"/>
      </c:catAx>
      <c:valAx>
        <c:axId val="117730319"/>
        <c:scaling>
          <c:orientation val="minMax"/>
        </c:scaling>
        <c:delete val="1"/>
        <c:axPos val="b"/>
        <c:numFmt formatCode="#\ ##0\ &quot;€&quot;" sourceLinked="1"/>
        <c:majorTickMark val="none"/>
        <c:minorTickMark val="none"/>
        <c:tickLblPos val="nextTo"/>
        <c:crossAx val="11771351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stock.xlsm]Traitement!SortieTotalCategories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Traitement!$B$40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Traitement!$A$41:$A$45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Traitement!$B$41:$B$45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9-4886-98E5-C1988FE76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[Tableau_Gestion de stock.xlsm]Traitement!SortieValeurCategories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Traitement!$A$48:$A$52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Traitement!$B$48:$B$52</c:f>
              <c:numCache>
                <c:formatCode>_-* #\ ##0.00\ [$€-40C]_-;\-* #\ ##0.00\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9-47B5-AAFB-BA86D549D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734463276836158"/>
          <c:y val="0.80320324400866783"/>
          <c:w val="0.79265536723163854"/>
          <c:h val="0.14230084318479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image" Target="../media/image7.png"/><Relationship Id="rId3" Type="http://schemas.openxmlformats.org/officeDocument/2006/relationships/image" Target="../media/image3.png"/><Relationship Id="rId21" Type="http://schemas.openxmlformats.org/officeDocument/2006/relationships/image" Target="../media/image10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19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Relationship Id="rId22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16379</xdr:colOff>
      <xdr:row>1</xdr:row>
      <xdr:rowOff>121920</xdr:rowOff>
    </xdr:from>
    <xdr:to>
      <xdr:col>5</xdr:col>
      <xdr:colOff>267419</xdr:colOff>
      <xdr:row>4</xdr:row>
      <xdr:rowOff>149280</xdr:rowOff>
    </xdr:to>
    <xdr:sp macro="" textlink="Traitement!A4">
      <xdr:nvSpPr>
        <xdr:cNvPr id="2" name="Rectangle : coins arrondis 1">
          <a:extLst>
            <a:ext uri="{FF2B5EF4-FFF2-40B4-BE49-F238E27FC236}">
              <a16:creationId xmlns:a16="http://schemas.microsoft.com/office/drawing/2014/main" id="{485DD069-57A5-1075-ABEF-2449A5E7DD77}"/>
            </a:ext>
          </a:extLst>
        </xdr:cNvPr>
        <xdr:cNvSpPr/>
      </xdr:nvSpPr>
      <xdr:spPr>
        <a:xfrm>
          <a:off x="2381207" y="393437"/>
          <a:ext cx="1827591" cy="57915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    </a:t>
          </a:r>
          <a:fld id="{5EC96144-63A0-442F-BCDF-6DF4BC7ED515}" type="TxLink"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marL="0" indent="0" algn="l"/>
            <a:t>366</a:t>
          </a:fld>
          <a:endParaRPr lang="en-US" sz="1600" b="0" i="0" u="none" strike="noStrike">
            <a:solidFill>
              <a:schemeClr val="bg1"/>
            </a:solidFill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387096</xdr:colOff>
      <xdr:row>1</xdr:row>
      <xdr:rowOff>121920</xdr:rowOff>
    </xdr:from>
    <xdr:to>
      <xdr:col>7</xdr:col>
      <xdr:colOff>638136</xdr:colOff>
      <xdr:row>4</xdr:row>
      <xdr:rowOff>149280</xdr:rowOff>
    </xdr:to>
    <xdr:sp macro="" textlink="Traitement!B4">
      <xdr:nvSpPr>
        <xdr:cNvPr id="7" name="Rectangle : coins arrondis 6">
          <a:extLst>
            <a:ext uri="{FF2B5EF4-FFF2-40B4-BE49-F238E27FC236}">
              <a16:creationId xmlns:a16="http://schemas.microsoft.com/office/drawing/2014/main" id="{B31545CD-D41C-41DF-A73A-3C7A216E9B7F}"/>
            </a:ext>
          </a:extLst>
        </xdr:cNvPr>
        <xdr:cNvSpPr/>
      </xdr:nvSpPr>
      <xdr:spPr>
        <a:xfrm>
          <a:off x="4328475" y="393437"/>
          <a:ext cx="1827592" cy="57915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47FB9842-EAFC-4E0B-B7DD-51F6BC485612}" type="TxLink"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marL="0" indent="0" algn="l"/>
            <a:t> 54 852,09 € </a:t>
          </a:fld>
          <a:endParaRPr lang="it-IT" sz="1600" b="0" i="0" u="none" strike="noStrike">
            <a:solidFill>
              <a:schemeClr val="bg1"/>
            </a:solidFill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766572</xdr:colOff>
      <xdr:row>1</xdr:row>
      <xdr:rowOff>144780</xdr:rowOff>
    </xdr:from>
    <xdr:to>
      <xdr:col>10</xdr:col>
      <xdr:colOff>225132</xdr:colOff>
      <xdr:row>4</xdr:row>
      <xdr:rowOff>172140</xdr:rowOff>
    </xdr:to>
    <xdr:sp macro="" textlink="Traitement!A7">
      <xdr:nvSpPr>
        <xdr:cNvPr id="8" name="Rectangle : coins arrondis 7">
          <a:extLst>
            <a:ext uri="{FF2B5EF4-FFF2-40B4-BE49-F238E27FC236}">
              <a16:creationId xmlns:a16="http://schemas.microsoft.com/office/drawing/2014/main" id="{37A9C258-535A-4E66-808E-BBBAE30A6A6B}"/>
            </a:ext>
          </a:extLst>
        </xdr:cNvPr>
        <xdr:cNvSpPr/>
      </xdr:nvSpPr>
      <xdr:spPr>
        <a:xfrm>
          <a:off x="6313932" y="419100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35F46D60-EFAB-4204-A768-7A3D022096B8}" type="TxLink"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marL="0" indent="0" algn="l"/>
            <a:t>992</a:t>
          </a:fld>
          <a:endParaRPr lang="it-IT" sz="1600" b="0" i="0" u="none" strike="noStrike">
            <a:solidFill>
              <a:schemeClr val="bg1"/>
            </a:solidFill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353568</xdr:colOff>
      <xdr:row>1</xdr:row>
      <xdr:rowOff>167640</xdr:rowOff>
    </xdr:from>
    <xdr:to>
      <xdr:col>12</xdr:col>
      <xdr:colOff>604608</xdr:colOff>
      <xdr:row>5</xdr:row>
      <xdr:rowOff>12120</xdr:rowOff>
    </xdr:to>
    <xdr:sp macro="" textlink="Traitement!B7">
      <xdr:nvSpPr>
        <xdr:cNvPr id="9" name="Rectangle : coins arrondis 8">
          <a:extLst>
            <a:ext uri="{FF2B5EF4-FFF2-40B4-BE49-F238E27FC236}">
              <a16:creationId xmlns:a16="http://schemas.microsoft.com/office/drawing/2014/main" id="{A73A1318-7C9E-4886-9839-4DF2058BF0AB}"/>
            </a:ext>
          </a:extLst>
        </xdr:cNvPr>
        <xdr:cNvSpPr/>
      </xdr:nvSpPr>
      <xdr:spPr>
        <a:xfrm>
          <a:off x="8278368" y="441960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BB6A00EF-4E60-4102-A6C1-38E52FC72DB6}" type="TxLink"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marL="0" indent="0" algn="l"/>
            <a:t> 291 428,95 € </a:t>
          </a:fld>
          <a:endParaRPr lang="it-IT" sz="1600" b="0" i="0" u="none" strike="noStrike">
            <a:solidFill>
              <a:schemeClr val="bg1"/>
            </a:solidFill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733044</xdr:colOff>
      <xdr:row>2</xdr:row>
      <xdr:rowOff>0</xdr:rowOff>
    </xdr:from>
    <xdr:to>
      <xdr:col>15</xdr:col>
      <xdr:colOff>191604</xdr:colOff>
      <xdr:row>5</xdr:row>
      <xdr:rowOff>27360</xdr:rowOff>
    </xdr:to>
    <xdr:sp macro="" textlink="Traitement!A10">
      <xdr:nvSpPr>
        <xdr:cNvPr id="10" name="Rectangle : coins arrondis 9">
          <a:extLst>
            <a:ext uri="{FF2B5EF4-FFF2-40B4-BE49-F238E27FC236}">
              <a16:creationId xmlns:a16="http://schemas.microsoft.com/office/drawing/2014/main" id="{D40D3E9E-4B7C-4404-A0B5-B740AFF31F75}"/>
            </a:ext>
          </a:extLst>
        </xdr:cNvPr>
        <xdr:cNvSpPr/>
      </xdr:nvSpPr>
      <xdr:spPr>
        <a:xfrm>
          <a:off x="10242804" y="457200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31F4432A-0FBB-4908-8B52-D66F2B05D56A}" type="TxLink"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marL="0" indent="0" algn="l"/>
            <a:t>702</a:t>
          </a:fld>
          <a:endParaRPr lang="it-IT" sz="1600" b="0" i="0" u="none" strike="noStrike">
            <a:solidFill>
              <a:schemeClr val="bg1"/>
            </a:solidFill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320040</xdr:colOff>
      <xdr:row>2</xdr:row>
      <xdr:rowOff>0</xdr:rowOff>
    </xdr:from>
    <xdr:to>
      <xdr:col>17</xdr:col>
      <xdr:colOff>571080</xdr:colOff>
      <xdr:row>5</xdr:row>
      <xdr:rowOff>27360</xdr:rowOff>
    </xdr:to>
    <xdr:sp macro="" textlink="Traitement!B10">
      <xdr:nvSpPr>
        <xdr:cNvPr id="11" name="Rectangle : coins arrondis 10">
          <a:extLst>
            <a:ext uri="{FF2B5EF4-FFF2-40B4-BE49-F238E27FC236}">
              <a16:creationId xmlns:a16="http://schemas.microsoft.com/office/drawing/2014/main" id="{27865ED7-FF0E-4B81-9892-3BF83DD8F9F6}"/>
            </a:ext>
          </a:extLst>
        </xdr:cNvPr>
        <xdr:cNvSpPr/>
      </xdr:nvSpPr>
      <xdr:spPr>
        <a:xfrm>
          <a:off x="12207240" y="457200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549773B5-8556-4D05-8958-7ECB0C798E06}" type="TxLink">
            <a:rPr lang="en-US" sz="16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marL="0" indent="0" algn="l"/>
            <a:t> 297 931,00 € </a:t>
          </a:fld>
          <a:endParaRPr lang="it-IT" sz="1600" b="0" i="0" u="none" strike="noStrike">
            <a:solidFill>
              <a:schemeClr val="bg1"/>
            </a:solidFill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7620</xdr:colOff>
      <xdr:row>6</xdr:row>
      <xdr:rowOff>0</xdr:rowOff>
    </xdr:from>
    <xdr:to>
      <xdr:col>7</xdr:col>
      <xdr:colOff>689700</xdr:colOff>
      <xdr:row>14</xdr:row>
      <xdr:rowOff>135360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299E005-2F1A-4DD4-8573-3FA9329C07E3}"/>
            </a:ext>
          </a:extLst>
        </xdr:cNvPr>
        <xdr:cNvSpPr/>
      </xdr:nvSpPr>
      <xdr:spPr>
        <a:xfrm>
          <a:off x="2385060" y="1188720"/>
          <a:ext cx="3852000" cy="1598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8</xdr:col>
      <xdr:colOff>162366</xdr:colOff>
      <xdr:row>5</xdr:row>
      <xdr:rowOff>155199</xdr:rowOff>
    </xdr:from>
    <xdr:to>
      <xdr:col>17</xdr:col>
      <xdr:colOff>695766</xdr:colOff>
      <xdr:row>14</xdr:row>
      <xdr:rowOff>103947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BD9EB0C-4DAF-44B6-990A-F84C66749150}"/>
            </a:ext>
          </a:extLst>
        </xdr:cNvPr>
        <xdr:cNvSpPr/>
      </xdr:nvSpPr>
      <xdr:spPr>
        <a:xfrm>
          <a:off x="6507182" y="1173791"/>
          <a:ext cx="7671319" cy="162825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</xdr:col>
      <xdr:colOff>46030</xdr:colOff>
      <xdr:row>6</xdr:row>
      <xdr:rowOff>15240</xdr:rowOff>
    </xdr:from>
    <xdr:to>
      <xdr:col>7</xdr:col>
      <xdr:colOff>715347</xdr:colOff>
      <xdr:row>14</xdr:row>
      <xdr:rowOff>15551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73679888-B23F-4355-8577-4174A94B7CCA}"/>
            </a:ext>
          </a:extLst>
        </xdr:cNvPr>
        <xdr:cNvSpPr/>
      </xdr:nvSpPr>
      <xdr:spPr>
        <a:xfrm>
          <a:off x="2425336" y="1220444"/>
          <a:ext cx="3841725" cy="14932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30480</xdr:colOff>
      <xdr:row>15</xdr:row>
      <xdr:rowOff>99060</xdr:rowOff>
    </xdr:from>
    <xdr:to>
      <xdr:col>7</xdr:col>
      <xdr:colOff>712560</xdr:colOff>
      <xdr:row>24</xdr:row>
      <xdr:rowOff>51540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41ED3B9-76CD-4ACB-BEA7-0AE9E2C25F07}"/>
            </a:ext>
          </a:extLst>
        </xdr:cNvPr>
        <xdr:cNvSpPr/>
      </xdr:nvSpPr>
      <xdr:spPr>
        <a:xfrm>
          <a:off x="2407920" y="2933700"/>
          <a:ext cx="3852000" cy="1598400"/>
        </a:xfrm>
        <a:prstGeom prst="roundRect">
          <a:avLst/>
        </a:prstGeom>
        <a:solidFill>
          <a:srgbClr val="F2E9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</xdr:col>
      <xdr:colOff>30480</xdr:colOff>
      <xdr:row>25</xdr:row>
      <xdr:rowOff>15240</xdr:rowOff>
    </xdr:from>
    <xdr:to>
      <xdr:col>7</xdr:col>
      <xdr:colOff>712560</xdr:colOff>
      <xdr:row>33</xdr:row>
      <xdr:rowOff>150600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3C7CA41A-41CA-47DC-8DD7-2EE02642BFA8}"/>
            </a:ext>
          </a:extLst>
        </xdr:cNvPr>
        <xdr:cNvSpPr/>
      </xdr:nvSpPr>
      <xdr:spPr>
        <a:xfrm>
          <a:off x="2411730" y="4674553"/>
          <a:ext cx="3857080" cy="159586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60960</xdr:colOff>
      <xdr:row>15</xdr:row>
      <xdr:rowOff>114300</xdr:rowOff>
    </xdr:from>
    <xdr:to>
      <xdr:col>12</xdr:col>
      <xdr:colOff>743040</xdr:colOff>
      <xdr:row>24</xdr:row>
      <xdr:rowOff>66780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10ACD47-A8B1-4A10-93A3-7A37FD903E50}"/>
            </a:ext>
          </a:extLst>
        </xdr:cNvPr>
        <xdr:cNvSpPr/>
      </xdr:nvSpPr>
      <xdr:spPr>
        <a:xfrm>
          <a:off x="6400800" y="2948940"/>
          <a:ext cx="3852000" cy="15984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91440</xdr:colOff>
      <xdr:row>15</xdr:row>
      <xdr:rowOff>137160</xdr:rowOff>
    </xdr:from>
    <xdr:to>
      <xdr:col>17</xdr:col>
      <xdr:colOff>773520</xdr:colOff>
      <xdr:row>24</xdr:row>
      <xdr:rowOff>89640</xdr:rowOff>
    </xdr:to>
    <xdr:sp macro="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85B735AC-869B-407F-AB30-62B7AEA67EEF}"/>
            </a:ext>
          </a:extLst>
        </xdr:cNvPr>
        <xdr:cNvSpPr/>
      </xdr:nvSpPr>
      <xdr:spPr>
        <a:xfrm>
          <a:off x="10393680" y="2971800"/>
          <a:ext cx="3852000" cy="15984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8</xdr:col>
      <xdr:colOff>60960</xdr:colOff>
      <xdr:row>25</xdr:row>
      <xdr:rowOff>30480</xdr:rowOff>
    </xdr:from>
    <xdr:to>
      <xdr:col>12</xdr:col>
      <xdr:colOff>743040</xdr:colOff>
      <xdr:row>33</xdr:row>
      <xdr:rowOff>165840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9480510E-9CE5-4B9C-B39D-BE3D50DB6AE6}"/>
            </a:ext>
          </a:extLst>
        </xdr:cNvPr>
        <xdr:cNvSpPr/>
      </xdr:nvSpPr>
      <xdr:spPr>
        <a:xfrm>
          <a:off x="6405776" y="4781317"/>
          <a:ext cx="3854488" cy="162825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83664</xdr:colOff>
      <xdr:row>25</xdr:row>
      <xdr:rowOff>30480</xdr:rowOff>
    </xdr:from>
    <xdr:to>
      <xdr:col>17</xdr:col>
      <xdr:colOff>765744</xdr:colOff>
      <xdr:row>33</xdr:row>
      <xdr:rowOff>169572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DC5822A5-C6CC-4A98-8098-BB02F0254D36}"/>
            </a:ext>
          </a:extLst>
        </xdr:cNvPr>
        <xdr:cNvSpPr/>
      </xdr:nvSpPr>
      <xdr:spPr>
        <a:xfrm>
          <a:off x="10393991" y="4781317"/>
          <a:ext cx="3854488" cy="163199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</xdr:col>
      <xdr:colOff>30480</xdr:colOff>
      <xdr:row>1</xdr:row>
      <xdr:rowOff>114300</xdr:rowOff>
    </xdr:from>
    <xdr:to>
      <xdr:col>4</xdr:col>
      <xdr:colOff>365760</xdr:colOff>
      <xdr:row>2</xdr:row>
      <xdr:rowOff>144780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D9758D46-74DF-64E0-7AE0-8DC0343775BC}"/>
            </a:ext>
          </a:extLst>
        </xdr:cNvPr>
        <xdr:cNvSpPr txBox="1"/>
      </xdr:nvSpPr>
      <xdr:spPr>
        <a:xfrm>
          <a:off x="2407920" y="388620"/>
          <a:ext cx="1127760" cy="21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10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Stock</a:t>
          </a:r>
          <a:r>
            <a:rPr lang="it-IT" sz="1100" baseline="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Total</a:t>
          </a:r>
          <a:endParaRPr lang="it-IT" sz="1100">
            <a:solidFill>
              <a:schemeClr val="accent1">
                <a:lumMod val="40000"/>
                <a:lumOff val="6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387096</xdr:colOff>
      <xdr:row>1</xdr:row>
      <xdr:rowOff>121920</xdr:rowOff>
    </xdr:from>
    <xdr:to>
      <xdr:col>6</xdr:col>
      <xdr:colOff>722376</xdr:colOff>
      <xdr:row>2</xdr:row>
      <xdr:rowOff>152400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3F7EFDBC-1A18-4958-AF9E-B8CFA591B66C}"/>
            </a:ext>
          </a:extLst>
        </xdr:cNvPr>
        <xdr:cNvSpPr txBox="1"/>
      </xdr:nvSpPr>
      <xdr:spPr>
        <a:xfrm>
          <a:off x="4349496" y="396240"/>
          <a:ext cx="1127760" cy="21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 Stock</a:t>
          </a:r>
          <a:r>
            <a:rPr lang="it-IT" sz="1100" baseline="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it-IT" sz="1100">
            <a:solidFill>
              <a:schemeClr val="accent1">
                <a:lumMod val="40000"/>
                <a:lumOff val="6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766572</xdr:colOff>
      <xdr:row>1</xdr:row>
      <xdr:rowOff>144780</xdr:rowOff>
    </xdr:from>
    <xdr:to>
      <xdr:col>10</xdr:col>
      <xdr:colOff>38100</xdr:colOff>
      <xdr:row>3</xdr:row>
      <xdr:rowOff>106680</xdr:rowOff>
    </xdr:to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8BA6B8C9-0BA6-4E99-A8C1-6DC5A2FDF756}"/>
            </a:ext>
          </a:extLst>
        </xdr:cNvPr>
        <xdr:cNvSpPr txBox="1"/>
      </xdr:nvSpPr>
      <xdr:spPr>
        <a:xfrm>
          <a:off x="6313932" y="419100"/>
          <a:ext cx="1648968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aseline="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entrées</a:t>
          </a:r>
          <a:endParaRPr lang="it-IT" sz="1100">
            <a:solidFill>
              <a:schemeClr val="accent1">
                <a:lumMod val="40000"/>
                <a:lumOff val="6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353568</xdr:colOff>
      <xdr:row>1</xdr:row>
      <xdr:rowOff>167640</xdr:rowOff>
    </xdr:from>
    <xdr:to>
      <xdr:col>12</xdr:col>
      <xdr:colOff>434340</xdr:colOff>
      <xdr:row>3</xdr:row>
      <xdr:rowOff>60960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2B537E6-07A5-46AE-9E05-FC4F91463CF8}"/>
            </a:ext>
          </a:extLst>
        </xdr:cNvPr>
        <xdr:cNvSpPr txBox="1"/>
      </xdr:nvSpPr>
      <xdr:spPr>
        <a:xfrm>
          <a:off x="8278368" y="441960"/>
          <a:ext cx="1665732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entrées</a:t>
          </a:r>
        </a:p>
      </xdr:txBody>
    </xdr:sp>
    <xdr:clientData/>
  </xdr:twoCellAnchor>
  <xdr:twoCellAnchor>
    <xdr:from>
      <xdr:col>12</xdr:col>
      <xdr:colOff>733044</xdr:colOff>
      <xdr:row>2</xdr:row>
      <xdr:rowOff>0</xdr:rowOff>
    </xdr:from>
    <xdr:to>
      <xdr:col>14</xdr:col>
      <xdr:colOff>275844</xdr:colOff>
      <xdr:row>3</xdr:row>
      <xdr:rowOff>30480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3BB6BEF6-A285-4A09-B23C-968CEE26F876}"/>
            </a:ext>
          </a:extLst>
        </xdr:cNvPr>
        <xdr:cNvSpPr txBox="1"/>
      </xdr:nvSpPr>
      <xdr:spPr>
        <a:xfrm>
          <a:off x="10242804" y="457200"/>
          <a:ext cx="1127760" cy="21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aseline="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sorties</a:t>
          </a:r>
          <a:endParaRPr lang="it-IT" sz="1100">
            <a:solidFill>
              <a:schemeClr val="accent1">
                <a:lumMod val="40000"/>
                <a:lumOff val="6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320040</xdr:colOff>
      <xdr:row>2</xdr:row>
      <xdr:rowOff>0</xdr:rowOff>
    </xdr:from>
    <xdr:to>
      <xdr:col>17</xdr:col>
      <xdr:colOff>396240</xdr:colOff>
      <xdr:row>3</xdr:row>
      <xdr:rowOff>60960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66014964-B35C-47AA-86F3-64308D45169E}"/>
            </a:ext>
          </a:extLst>
        </xdr:cNvPr>
        <xdr:cNvSpPr txBox="1"/>
      </xdr:nvSpPr>
      <xdr:spPr>
        <a:xfrm>
          <a:off x="12207240" y="457200"/>
          <a:ext cx="166116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</a:t>
          </a:r>
          <a:r>
            <a:rPr lang="it-IT" sz="1100" baseline="0">
              <a:solidFill>
                <a:schemeClr val="accent1">
                  <a:lumMod val="40000"/>
                  <a:lumOff val="6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sorties</a:t>
          </a:r>
          <a:endParaRPr lang="it-IT" sz="1100">
            <a:solidFill>
              <a:schemeClr val="accent1">
                <a:lumMod val="40000"/>
                <a:lumOff val="6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615757</xdr:colOff>
      <xdr:row>2</xdr:row>
      <xdr:rowOff>102059</xdr:rowOff>
    </xdr:from>
    <xdr:to>
      <xdr:col>5</xdr:col>
      <xdr:colOff>216950</xdr:colOff>
      <xdr:row>4</xdr:row>
      <xdr:rowOff>130848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46FCAF14-A41C-39DC-10FD-233AF8E5B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786909" y="563877"/>
          <a:ext cx="393980" cy="398244"/>
        </a:xfrm>
        <a:prstGeom prst="rect">
          <a:avLst/>
        </a:prstGeom>
      </xdr:spPr>
    </xdr:pic>
    <xdr:clientData/>
  </xdr:twoCellAnchor>
  <xdr:twoCellAnchor editAs="oneCell">
    <xdr:from>
      <xdr:col>9</xdr:col>
      <xdr:colOff>634242</xdr:colOff>
      <xdr:row>2</xdr:row>
      <xdr:rowOff>129088</xdr:rowOff>
    </xdr:from>
    <xdr:to>
      <xdr:col>10</xdr:col>
      <xdr:colOff>238366</xdr:colOff>
      <xdr:row>4</xdr:row>
      <xdr:rowOff>152971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30AB54C2-0421-4F48-92A8-6DF0127E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728725" y="584536"/>
          <a:ext cx="392400" cy="391745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254001</xdr:colOff>
      <xdr:row>2</xdr:row>
      <xdr:rowOff>98177</xdr:rowOff>
    </xdr:from>
    <xdr:to>
      <xdr:col>7</xdr:col>
      <xdr:colOff>646401</xdr:colOff>
      <xdr:row>4</xdr:row>
      <xdr:rowOff>125081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9AD6E2DB-B0E3-10ED-FEC8-B0B99C247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803516" y="559995"/>
          <a:ext cx="392400" cy="396359"/>
        </a:xfrm>
        <a:prstGeom prst="rect">
          <a:avLst/>
        </a:prstGeom>
      </xdr:spPr>
    </xdr:pic>
    <xdr:clientData/>
  </xdr:twoCellAnchor>
  <xdr:twoCellAnchor editAs="oneCell">
    <xdr:from>
      <xdr:col>17</xdr:col>
      <xdr:colOff>164562</xdr:colOff>
      <xdr:row>2</xdr:row>
      <xdr:rowOff>178541</xdr:rowOff>
    </xdr:from>
    <xdr:to>
      <xdr:col>17</xdr:col>
      <xdr:colOff>556320</xdr:colOff>
      <xdr:row>5</xdr:row>
      <xdr:rowOff>20359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F629EDEE-0131-638F-BE5D-6195368E4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641956" y="640359"/>
          <a:ext cx="391758" cy="396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499024</xdr:colOff>
      <xdr:row>3</xdr:row>
      <xdr:rowOff>24651</xdr:rowOff>
    </xdr:from>
    <xdr:to>
      <xdr:col>15</xdr:col>
      <xdr:colOff>103148</xdr:colOff>
      <xdr:row>5</xdr:row>
      <xdr:rowOff>53127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89054058-610C-8158-035D-85CD3D1A6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534886" y="664030"/>
          <a:ext cx="392400" cy="396338"/>
        </a:xfrm>
        <a:prstGeom prst="rect">
          <a:avLst/>
        </a:prstGeom>
      </xdr:spPr>
    </xdr:pic>
    <xdr:clientData/>
  </xdr:twoCellAnchor>
  <xdr:twoCellAnchor editAs="oneCell">
    <xdr:from>
      <xdr:col>12</xdr:col>
      <xdr:colOff>218279</xdr:colOff>
      <xdr:row>2</xdr:row>
      <xdr:rowOff>130532</xdr:rowOff>
    </xdr:from>
    <xdr:to>
      <xdr:col>12</xdr:col>
      <xdr:colOff>610679</xdr:colOff>
      <xdr:row>4</xdr:row>
      <xdr:rowOff>160067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41EC283F-AEC7-3498-EBC3-6B6439D52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9677589" y="585980"/>
          <a:ext cx="392400" cy="397397"/>
        </a:xfrm>
        <a:prstGeom prst="rect">
          <a:avLst/>
        </a:prstGeom>
      </xdr:spPr>
    </xdr:pic>
    <xdr:clientData/>
  </xdr:twoCellAnchor>
  <xdr:twoCellAnchor>
    <xdr:from>
      <xdr:col>2</xdr:col>
      <xdr:colOff>786902</xdr:colOff>
      <xdr:row>6</xdr:row>
      <xdr:rowOff>14941</xdr:rowOff>
    </xdr:from>
    <xdr:to>
      <xdr:col>6</xdr:col>
      <xdr:colOff>214156</xdr:colOff>
      <xdr:row>15</xdr:row>
      <xdr:rowOff>0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C2CE5603-C85D-4DFF-99FF-E1F226008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304313</xdr:colOff>
      <xdr:row>8</xdr:row>
      <xdr:rowOff>31559</xdr:rowOff>
    </xdr:from>
    <xdr:to>
      <xdr:col>4</xdr:col>
      <xdr:colOff>184783</xdr:colOff>
      <xdr:row>11</xdr:row>
      <xdr:rowOff>106113</xdr:rowOff>
    </xdr:to>
    <xdr:sp macro="" textlink="">
      <xdr:nvSpPr>
        <xdr:cNvPr id="41" name="Organigramme : Connecteur 40">
          <a:extLst>
            <a:ext uri="{FF2B5EF4-FFF2-40B4-BE49-F238E27FC236}">
              <a16:creationId xmlns:a16="http://schemas.microsoft.com/office/drawing/2014/main" id="{5CF65536-8B67-FB78-48C9-AF9693684D50}"/>
            </a:ext>
          </a:extLst>
        </xdr:cNvPr>
        <xdr:cNvSpPr/>
      </xdr:nvSpPr>
      <xdr:spPr>
        <a:xfrm>
          <a:off x="2683619" y="1609988"/>
          <a:ext cx="673572" cy="634390"/>
        </a:xfrm>
        <a:prstGeom prst="flowChartConnector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</xdr:col>
      <xdr:colOff>267265</xdr:colOff>
      <xdr:row>8</xdr:row>
      <xdr:rowOff>166182</xdr:rowOff>
    </xdr:from>
    <xdr:to>
      <xdr:col>4</xdr:col>
      <xdr:colOff>446558</xdr:colOff>
      <xdr:row>11</xdr:row>
      <xdr:rowOff>76535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7ACFBCC4-E326-4502-B56E-DCBD0038B869}"/>
            </a:ext>
          </a:extLst>
        </xdr:cNvPr>
        <xdr:cNvSpPr txBox="1"/>
      </xdr:nvSpPr>
      <xdr:spPr>
        <a:xfrm>
          <a:off x="2646571" y="1744611"/>
          <a:ext cx="972395" cy="4701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Stock</a:t>
          </a:r>
          <a:r>
            <a:rPr lang="it-IT" sz="10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categorie</a:t>
          </a:r>
          <a:endParaRPr lang="it-IT" sz="10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46653</xdr:colOff>
      <xdr:row>6</xdr:row>
      <xdr:rowOff>54429</xdr:rowOff>
    </xdr:from>
    <xdr:to>
      <xdr:col>8</xdr:col>
      <xdr:colOff>101082</xdr:colOff>
      <xdr:row>14</xdr:row>
      <xdr:rowOff>108858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FFDBBA20-DF83-4F29-8EBB-493E426A2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116633</xdr:colOff>
      <xdr:row>8</xdr:row>
      <xdr:rowOff>7776</xdr:rowOff>
    </xdr:from>
    <xdr:to>
      <xdr:col>7</xdr:col>
      <xdr:colOff>31103</xdr:colOff>
      <xdr:row>11</xdr:row>
      <xdr:rowOff>108858</xdr:rowOff>
    </xdr:to>
    <xdr:sp macro="" textlink="">
      <xdr:nvSpPr>
        <xdr:cNvPr id="44" name="Organigramme : Connecteur 43">
          <a:extLst>
            <a:ext uri="{FF2B5EF4-FFF2-40B4-BE49-F238E27FC236}">
              <a16:creationId xmlns:a16="http://schemas.microsoft.com/office/drawing/2014/main" id="{C33A68F4-1174-33E0-3A5D-6FDAA150F175}"/>
            </a:ext>
          </a:extLst>
        </xdr:cNvPr>
        <xdr:cNvSpPr/>
      </xdr:nvSpPr>
      <xdr:spPr>
        <a:xfrm>
          <a:off x="4875245" y="1586205"/>
          <a:ext cx="707572" cy="660918"/>
        </a:xfrm>
        <a:prstGeom prst="flowChartConnector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6</xdr:col>
      <xdr:colOff>217716</xdr:colOff>
      <xdr:row>8</xdr:row>
      <xdr:rowOff>62203</xdr:rowOff>
    </xdr:from>
    <xdr:to>
      <xdr:col>7</xdr:col>
      <xdr:colOff>31104</xdr:colOff>
      <xdr:row>12</xdr:row>
      <xdr:rowOff>132183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299333A3-5050-4E96-AA10-A4CA510DAE5C}"/>
            </a:ext>
          </a:extLst>
        </xdr:cNvPr>
        <xdr:cNvSpPr txBox="1"/>
      </xdr:nvSpPr>
      <xdr:spPr>
        <a:xfrm>
          <a:off x="4976328" y="1640632"/>
          <a:ext cx="606490" cy="8164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Valeur</a:t>
          </a:r>
          <a:r>
            <a:rPr lang="it-IT" sz="8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categorie</a:t>
          </a:r>
          <a:endParaRPr lang="it-IT" sz="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628896</xdr:colOff>
      <xdr:row>6</xdr:row>
      <xdr:rowOff>124408</xdr:rowOff>
    </xdr:from>
    <xdr:to>
      <xdr:col>10</xdr:col>
      <xdr:colOff>606491</xdr:colOff>
      <xdr:row>14</xdr:row>
      <xdr:rowOff>48752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0B835619-5108-4668-AF9D-CFADBA9248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730898</xdr:colOff>
      <xdr:row>8</xdr:row>
      <xdr:rowOff>77755</xdr:rowOff>
    </xdr:from>
    <xdr:to>
      <xdr:col>9</xdr:col>
      <xdr:colOff>513184</xdr:colOff>
      <xdr:row>11</xdr:row>
      <xdr:rowOff>38878</xdr:rowOff>
    </xdr:to>
    <xdr:sp macro="" textlink="">
      <xdr:nvSpPr>
        <xdr:cNvPr id="47" name="Organigramme : Connecteur 46">
          <a:extLst>
            <a:ext uri="{FF2B5EF4-FFF2-40B4-BE49-F238E27FC236}">
              <a16:creationId xmlns:a16="http://schemas.microsoft.com/office/drawing/2014/main" id="{73FB4E69-760E-1162-7454-6C8AC7A4AA78}"/>
            </a:ext>
          </a:extLst>
        </xdr:cNvPr>
        <xdr:cNvSpPr/>
      </xdr:nvSpPr>
      <xdr:spPr>
        <a:xfrm>
          <a:off x="7075714" y="1656184"/>
          <a:ext cx="575388" cy="520959"/>
        </a:xfrm>
        <a:prstGeom prst="flowChartConnector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8</xdr:col>
      <xdr:colOff>745528</xdr:colOff>
      <xdr:row>8</xdr:row>
      <xdr:rowOff>100770</xdr:rowOff>
    </xdr:from>
    <xdr:to>
      <xdr:col>9</xdr:col>
      <xdr:colOff>558916</xdr:colOff>
      <xdr:row>12</xdr:row>
      <xdr:rowOff>170750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8FC50967-786F-4554-82A8-D28F41B53DCC}"/>
            </a:ext>
          </a:extLst>
        </xdr:cNvPr>
        <xdr:cNvSpPr txBox="1"/>
      </xdr:nvSpPr>
      <xdr:spPr>
        <a:xfrm>
          <a:off x="7090344" y="1679199"/>
          <a:ext cx="606490" cy="8164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Entrée</a:t>
          </a:r>
          <a:r>
            <a:rPr lang="it-IT" sz="8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categorie</a:t>
          </a:r>
          <a:endParaRPr lang="it-IT" sz="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597794</xdr:colOff>
      <xdr:row>6</xdr:row>
      <xdr:rowOff>155510</xdr:rowOff>
    </xdr:from>
    <xdr:to>
      <xdr:col>12</xdr:col>
      <xdr:colOff>748328</xdr:colOff>
      <xdr:row>14</xdr:row>
      <xdr:rowOff>9873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F6F8F9FB-E0ED-4658-ADEA-56EC748B9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31103</xdr:colOff>
      <xdr:row>8</xdr:row>
      <xdr:rowOff>77756</xdr:rowOff>
    </xdr:from>
    <xdr:to>
      <xdr:col>11</xdr:col>
      <xdr:colOff>520961</xdr:colOff>
      <xdr:row>11</xdr:row>
      <xdr:rowOff>46654</xdr:rowOff>
    </xdr:to>
    <xdr:sp macro="" textlink="">
      <xdr:nvSpPr>
        <xdr:cNvPr id="50" name="Organigramme : Connecteur 49">
          <a:extLst>
            <a:ext uri="{FF2B5EF4-FFF2-40B4-BE49-F238E27FC236}">
              <a16:creationId xmlns:a16="http://schemas.microsoft.com/office/drawing/2014/main" id="{A2759AA2-9573-DCF4-5185-33E1ECB52449}"/>
            </a:ext>
          </a:extLst>
        </xdr:cNvPr>
        <xdr:cNvSpPr/>
      </xdr:nvSpPr>
      <xdr:spPr>
        <a:xfrm>
          <a:off x="8755225" y="1656185"/>
          <a:ext cx="489858" cy="528734"/>
        </a:xfrm>
        <a:prstGeom prst="flowChartConnector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768855</xdr:colOff>
      <xdr:row>8</xdr:row>
      <xdr:rowOff>92995</xdr:rowOff>
    </xdr:from>
    <xdr:to>
      <xdr:col>11</xdr:col>
      <xdr:colOff>582243</xdr:colOff>
      <xdr:row>12</xdr:row>
      <xdr:rowOff>162975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FE13EC14-D771-4AA1-BB19-011CD4E4D319}"/>
            </a:ext>
          </a:extLst>
        </xdr:cNvPr>
        <xdr:cNvSpPr txBox="1"/>
      </xdr:nvSpPr>
      <xdr:spPr>
        <a:xfrm>
          <a:off x="8699875" y="1671424"/>
          <a:ext cx="606490" cy="8164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Valeur</a:t>
          </a:r>
          <a:r>
            <a:rPr lang="it-IT" sz="8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categorie</a:t>
          </a:r>
          <a:endParaRPr lang="it-IT" sz="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139038</xdr:colOff>
      <xdr:row>6</xdr:row>
      <xdr:rowOff>101082</xdr:rowOff>
    </xdr:from>
    <xdr:to>
      <xdr:col>15</xdr:col>
      <xdr:colOff>213371</xdr:colOff>
      <xdr:row>13</xdr:row>
      <xdr:rowOff>180314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F8EB352A-1ACB-4724-B864-FB71B19EC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326573</xdr:colOff>
      <xdr:row>8</xdr:row>
      <xdr:rowOff>85530</xdr:rowOff>
    </xdr:from>
    <xdr:to>
      <xdr:col>14</xdr:col>
      <xdr:colOff>1</xdr:colOff>
      <xdr:row>10</xdr:row>
      <xdr:rowOff>155511</xdr:rowOff>
    </xdr:to>
    <xdr:sp macro="" textlink="">
      <xdr:nvSpPr>
        <xdr:cNvPr id="54" name="Organigramme : Connecteur 53">
          <a:extLst>
            <a:ext uri="{FF2B5EF4-FFF2-40B4-BE49-F238E27FC236}">
              <a16:creationId xmlns:a16="http://schemas.microsoft.com/office/drawing/2014/main" id="{1FC353F9-EA1E-4384-E193-C351140BEA52}"/>
            </a:ext>
          </a:extLst>
        </xdr:cNvPr>
        <xdr:cNvSpPr/>
      </xdr:nvSpPr>
      <xdr:spPr>
        <a:xfrm>
          <a:off x="10636900" y="1663959"/>
          <a:ext cx="466530" cy="443205"/>
        </a:xfrm>
        <a:prstGeom prst="flowChartConnector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318793</xdr:colOff>
      <xdr:row>8</xdr:row>
      <xdr:rowOff>54429</xdr:rowOff>
    </xdr:from>
    <xdr:to>
      <xdr:col>14</xdr:col>
      <xdr:colOff>85528</xdr:colOff>
      <xdr:row>12</xdr:row>
      <xdr:rowOff>38878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64FF5DAF-5A7F-4C61-A428-7396A60DF00B}"/>
            </a:ext>
          </a:extLst>
        </xdr:cNvPr>
        <xdr:cNvSpPr txBox="1"/>
      </xdr:nvSpPr>
      <xdr:spPr>
        <a:xfrm>
          <a:off x="10629120" y="1632858"/>
          <a:ext cx="559837" cy="7308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it-IT" sz="7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Sortie</a:t>
          </a:r>
          <a:r>
            <a:rPr lang="it-IT" sz="7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categorie</a:t>
          </a:r>
          <a:endParaRPr lang="it-IT" sz="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535589</xdr:colOff>
      <xdr:row>6</xdr:row>
      <xdr:rowOff>116322</xdr:rowOff>
    </xdr:from>
    <xdr:to>
      <xdr:col>17</xdr:col>
      <xdr:colOff>404183</xdr:colOff>
      <xdr:row>14</xdr:row>
      <xdr:rowOff>21694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8BE98608-F782-4C13-B739-357908E7C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194388</xdr:colOff>
      <xdr:row>15</xdr:row>
      <xdr:rowOff>124408</xdr:rowOff>
    </xdr:from>
    <xdr:to>
      <xdr:col>12</xdr:col>
      <xdr:colOff>598715</xdr:colOff>
      <xdr:row>24</xdr:row>
      <xdr:rowOff>23327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68A13CEF-90FB-4A89-B83F-0D24DB564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202161</xdr:colOff>
      <xdr:row>15</xdr:row>
      <xdr:rowOff>173394</xdr:rowOff>
    </xdr:from>
    <xdr:to>
      <xdr:col>17</xdr:col>
      <xdr:colOff>513182</xdr:colOff>
      <xdr:row>24</xdr:row>
      <xdr:rowOff>46653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3FB15380-A4BD-4AA4-80AF-3D4535EC1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8</xdr:col>
      <xdr:colOff>272142</xdr:colOff>
      <xdr:row>16</xdr:row>
      <xdr:rowOff>23326</xdr:rowOff>
    </xdr:from>
    <xdr:ext cx="1834156" cy="254493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70F228C6-5A21-0DCB-A9BE-E5523AAE553B}"/>
            </a:ext>
          </a:extLst>
        </xdr:cNvPr>
        <xdr:cNvSpPr txBox="1"/>
      </xdr:nvSpPr>
      <xdr:spPr>
        <a:xfrm>
          <a:off x="6622142" y="3039576"/>
          <a:ext cx="1834156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Entrées par</a:t>
          </a:r>
          <a:r>
            <a:rPr lang="it-IT" sz="11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mois </a:t>
          </a:r>
          <a:endParaRPr lang="it-IT" sz="11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13</xdr:col>
      <xdr:colOff>346786</xdr:colOff>
      <xdr:row>16</xdr:row>
      <xdr:rowOff>51318</xdr:rowOff>
    </xdr:from>
    <xdr:ext cx="1763624" cy="254493"/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B2A32464-CB80-42E8-9733-A7599DE28400}"/>
            </a:ext>
          </a:extLst>
        </xdr:cNvPr>
        <xdr:cNvSpPr txBox="1"/>
      </xdr:nvSpPr>
      <xdr:spPr>
        <a:xfrm>
          <a:off x="10665536" y="3067568"/>
          <a:ext cx="1763624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sorties par</a:t>
          </a:r>
          <a:r>
            <a:rPr lang="it-IT" sz="11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mois </a:t>
          </a:r>
          <a:endParaRPr lang="it-IT" sz="11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155510</xdr:colOff>
      <xdr:row>25</xdr:row>
      <xdr:rowOff>54428</xdr:rowOff>
    </xdr:from>
    <xdr:ext cx="1928092" cy="254493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4938EF6F-45D9-4593-A75B-2A9B61934346}"/>
            </a:ext>
          </a:extLst>
        </xdr:cNvPr>
        <xdr:cNvSpPr txBox="1"/>
      </xdr:nvSpPr>
      <xdr:spPr>
        <a:xfrm>
          <a:off x="6505510" y="4713741"/>
          <a:ext cx="1928092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Entrées par</a:t>
          </a:r>
          <a:r>
            <a:rPr lang="it-IT" sz="11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mois </a:t>
          </a:r>
          <a:endParaRPr lang="it-IT" sz="11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13</xdr:col>
      <xdr:colOff>245704</xdr:colOff>
      <xdr:row>25</xdr:row>
      <xdr:rowOff>82421</xdr:rowOff>
    </xdr:from>
    <xdr:ext cx="1802673" cy="254493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926469E4-02DC-BAD8-6177-5D81FFA351D4}"/>
            </a:ext>
          </a:extLst>
        </xdr:cNvPr>
        <xdr:cNvSpPr txBox="1"/>
      </xdr:nvSpPr>
      <xdr:spPr>
        <a:xfrm>
          <a:off x="10564454" y="4741734"/>
          <a:ext cx="1802673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sortie par</a:t>
          </a:r>
          <a:r>
            <a:rPr lang="it-IT" sz="11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mois </a:t>
          </a:r>
          <a:endParaRPr lang="it-IT" sz="11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7</xdr:col>
      <xdr:colOff>709127</xdr:colOff>
      <xdr:row>26</xdr:row>
      <xdr:rowOff>38877</xdr:rowOff>
    </xdr:from>
    <xdr:to>
      <xdr:col>13</xdr:col>
      <xdr:colOff>54428</xdr:colOff>
      <xdr:row>34</xdr:row>
      <xdr:rowOff>16872</xdr:rowOff>
    </xdr:to>
    <xdr:graphicFrame macro="">
      <xdr:nvGraphicFramePr>
        <xdr:cNvPr id="4096" name="Graphique 4095">
          <a:extLst>
            <a:ext uri="{FF2B5EF4-FFF2-40B4-BE49-F238E27FC236}">
              <a16:creationId xmlns:a16="http://schemas.microsoft.com/office/drawing/2014/main" id="{3E1647B5-D5FC-4C92-A266-7C25C4F18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176658</xdr:colOff>
      <xdr:row>26</xdr:row>
      <xdr:rowOff>152090</xdr:rowOff>
    </xdr:from>
    <xdr:to>
      <xdr:col>17</xdr:col>
      <xdr:colOff>425630</xdr:colOff>
      <xdr:row>34</xdr:row>
      <xdr:rowOff>167952</xdr:rowOff>
    </xdr:to>
    <xdr:graphicFrame macro="">
      <xdr:nvGraphicFramePr>
        <xdr:cNvPr id="4098" name="Graphique 4097">
          <a:extLst>
            <a:ext uri="{FF2B5EF4-FFF2-40B4-BE49-F238E27FC236}">
              <a16:creationId xmlns:a16="http://schemas.microsoft.com/office/drawing/2014/main" id="{049DEAA7-A3E9-400A-96CF-72497AA88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254104</xdr:colOff>
      <xdr:row>17</xdr:row>
      <xdr:rowOff>31102</xdr:rowOff>
    </xdr:from>
    <xdr:to>
      <xdr:col>7</xdr:col>
      <xdr:colOff>590939</xdr:colOff>
      <xdr:row>24</xdr:row>
      <xdr:rowOff>23325</xdr:rowOff>
    </xdr:to>
    <xdr:graphicFrame macro="">
      <xdr:nvGraphicFramePr>
        <xdr:cNvPr id="4099" name="Graphique 4098">
          <a:extLst>
            <a:ext uri="{FF2B5EF4-FFF2-40B4-BE49-F238E27FC236}">
              <a16:creationId xmlns:a16="http://schemas.microsoft.com/office/drawing/2014/main" id="{A18B8CC2-0D7F-43D8-9849-217997FA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</xdr:col>
      <xdr:colOff>233264</xdr:colOff>
      <xdr:row>15</xdr:row>
      <xdr:rowOff>178837</xdr:rowOff>
    </xdr:from>
    <xdr:ext cx="1701300" cy="254493"/>
    <xdr:sp macro="" textlink="">
      <xdr:nvSpPr>
        <xdr:cNvPr id="4100" name="ZoneTexte 4099">
          <a:extLst>
            <a:ext uri="{FF2B5EF4-FFF2-40B4-BE49-F238E27FC236}">
              <a16:creationId xmlns:a16="http://schemas.microsoft.com/office/drawing/2014/main" id="{9F3A42F2-EE27-341E-F705-7836225BEDDE}"/>
            </a:ext>
          </a:extLst>
        </xdr:cNvPr>
        <xdr:cNvSpPr txBox="1"/>
      </xdr:nvSpPr>
      <xdr:spPr>
        <a:xfrm>
          <a:off x="2614514" y="3012525"/>
          <a:ext cx="1701300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Top 3 des </a:t>
          </a:r>
          <a:r>
            <a:rPr lang="it-IT" sz="11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marchandises </a:t>
          </a:r>
          <a:endParaRPr lang="it-IT" sz="11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3</xdr:col>
      <xdr:colOff>320577</xdr:colOff>
      <xdr:row>27</xdr:row>
      <xdr:rowOff>91525</xdr:rowOff>
    </xdr:from>
    <xdr:ext cx="1348382" cy="254493"/>
    <xdr:sp macro="" textlink="Traitement!D111">
      <xdr:nvSpPr>
        <xdr:cNvPr id="4101" name="ZoneTexte 4100">
          <a:extLst>
            <a:ext uri="{FF2B5EF4-FFF2-40B4-BE49-F238E27FC236}">
              <a16:creationId xmlns:a16="http://schemas.microsoft.com/office/drawing/2014/main" id="{D73F0FC1-D742-7D2E-32AF-1E099679C720}"/>
            </a:ext>
          </a:extLst>
        </xdr:cNvPr>
        <xdr:cNvSpPr txBox="1"/>
      </xdr:nvSpPr>
      <xdr:spPr>
        <a:xfrm>
          <a:off x="2701827" y="5115963"/>
          <a:ext cx="1348382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A80A1EA7-DC54-4B7C-844C-C2061E01F2D0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Cuisinière CANDY</a:t>
          </a:fld>
          <a:endParaRPr lang="it-IT" sz="11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3</xdr:col>
      <xdr:colOff>249139</xdr:colOff>
      <xdr:row>29</xdr:row>
      <xdr:rowOff>151056</xdr:rowOff>
    </xdr:from>
    <xdr:ext cx="1560299" cy="254493"/>
    <xdr:sp macro="" textlink="Traitement!D112">
      <xdr:nvSpPr>
        <xdr:cNvPr id="4102" name="ZoneTexte 4101">
          <a:extLst>
            <a:ext uri="{FF2B5EF4-FFF2-40B4-BE49-F238E27FC236}">
              <a16:creationId xmlns:a16="http://schemas.microsoft.com/office/drawing/2014/main" id="{592AAF42-C3D9-0B50-9913-2A852ED16153}"/>
            </a:ext>
          </a:extLst>
        </xdr:cNvPr>
        <xdr:cNvSpPr txBox="1"/>
      </xdr:nvSpPr>
      <xdr:spPr>
        <a:xfrm>
          <a:off x="2630389" y="5540619"/>
          <a:ext cx="1560299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F7764C1-3ABA-4307-8F85-5170008F9F64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NINTENDO SWITCH</a:t>
          </a:fld>
          <a:endParaRPr lang="it-IT" sz="11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3</xdr:col>
      <xdr:colOff>201514</xdr:colOff>
      <xdr:row>32</xdr:row>
      <xdr:rowOff>28025</xdr:rowOff>
    </xdr:from>
    <xdr:ext cx="1951303" cy="254493"/>
    <xdr:sp macro="" textlink="Traitement!D113">
      <xdr:nvSpPr>
        <xdr:cNvPr id="4103" name="ZoneTexte 4102">
          <a:extLst>
            <a:ext uri="{FF2B5EF4-FFF2-40B4-BE49-F238E27FC236}">
              <a16:creationId xmlns:a16="http://schemas.microsoft.com/office/drawing/2014/main" id="{301A5EDE-094B-2790-BB6E-EFF0F0686A0A}"/>
            </a:ext>
          </a:extLst>
        </xdr:cNvPr>
        <xdr:cNvSpPr txBox="1"/>
      </xdr:nvSpPr>
      <xdr:spPr>
        <a:xfrm>
          <a:off x="2582764" y="5965275"/>
          <a:ext cx="1951303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129C6E2-FED1-4A5C-8240-9D6AEA34543C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Réfrigérateur WHIRLPOOL</a:t>
          </a:fld>
          <a:endParaRPr lang="it-IT" sz="11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6</xdr:col>
      <xdr:colOff>172810</xdr:colOff>
      <xdr:row>27</xdr:row>
      <xdr:rowOff>79375</xdr:rowOff>
    </xdr:from>
    <xdr:to>
      <xdr:col>7</xdr:col>
      <xdr:colOff>712560</xdr:colOff>
      <xdr:row>28</xdr:row>
      <xdr:rowOff>134938</xdr:rowOff>
    </xdr:to>
    <xdr:sp macro="" textlink="Traitement!G111">
      <xdr:nvSpPr>
        <xdr:cNvPr id="4104" name="Rectangle : coins arrondis 4103">
          <a:extLst>
            <a:ext uri="{FF2B5EF4-FFF2-40B4-BE49-F238E27FC236}">
              <a16:creationId xmlns:a16="http://schemas.microsoft.com/office/drawing/2014/main" id="{BCC1B317-0DFB-A44B-4BB1-F7913D0065CB}"/>
            </a:ext>
          </a:extLst>
        </xdr:cNvPr>
        <xdr:cNvSpPr/>
      </xdr:nvSpPr>
      <xdr:spPr>
        <a:xfrm>
          <a:off x="4935310" y="5103813"/>
          <a:ext cx="1333500" cy="238125"/>
        </a:xfrm>
        <a:prstGeom prst="roundRect">
          <a:avLst/>
        </a:prstGeom>
        <a:solidFill>
          <a:srgbClr val="FFFCF7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8600744-7E39-4ED3-891C-722E31C96320}" type="TxLink">
            <a:rPr lang="en-US" sz="1100" b="1" i="0" u="none" strike="noStrik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Non disonible</a:t>
          </a:fld>
          <a:endParaRPr lang="it-IT" sz="1100" b="1">
            <a:solidFill>
              <a:schemeClr val="accent4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188685</xdr:colOff>
      <xdr:row>29</xdr:row>
      <xdr:rowOff>153165</xdr:rowOff>
    </xdr:from>
    <xdr:to>
      <xdr:col>7</xdr:col>
      <xdr:colOff>728435</xdr:colOff>
      <xdr:row>31</xdr:row>
      <xdr:rowOff>26165</xdr:rowOff>
    </xdr:to>
    <xdr:sp macro="" textlink="Traitement!G112">
      <xdr:nvSpPr>
        <xdr:cNvPr id="4105" name="Rectangle : coins arrondis 4104">
          <a:extLst>
            <a:ext uri="{FF2B5EF4-FFF2-40B4-BE49-F238E27FC236}">
              <a16:creationId xmlns:a16="http://schemas.microsoft.com/office/drawing/2014/main" id="{4767F034-09F3-DC51-5177-3D664429FB73}"/>
            </a:ext>
          </a:extLst>
        </xdr:cNvPr>
        <xdr:cNvSpPr/>
      </xdr:nvSpPr>
      <xdr:spPr>
        <a:xfrm>
          <a:off x="4951185" y="5542728"/>
          <a:ext cx="1333500" cy="238125"/>
        </a:xfrm>
        <a:prstGeom prst="roundRect">
          <a:avLst/>
        </a:prstGeom>
        <a:solidFill>
          <a:srgbClr val="FFFCF7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4D5CF4-8103-4023-9404-6DD3FEBF3B32}" type="TxLink">
            <a:rPr lang="en-US" sz="1100" b="1" i="0" u="none" strike="noStrik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 Stock faible</a:t>
          </a:fld>
          <a:endParaRPr lang="it-IT" sz="1100" b="1">
            <a:solidFill>
              <a:schemeClr val="accent4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172810</xdr:colOff>
      <xdr:row>32</xdr:row>
      <xdr:rowOff>44393</xdr:rowOff>
    </xdr:from>
    <xdr:to>
      <xdr:col>7</xdr:col>
      <xdr:colOff>712560</xdr:colOff>
      <xdr:row>33</xdr:row>
      <xdr:rowOff>99955</xdr:rowOff>
    </xdr:to>
    <xdr:sp macro="" textlink="Traitement!G113">
      <xdr:nvSpPr>
        <xdr:cNvPr id="4106" name="Rectangle : coins arrondis 4105">
          <a:extLst>
            <a:ext uri="{FF2B5EF4-FFF2-40B4-BE49-F238E27FC236}">
              <a16:creationId xmlns:a16="http://schemas.microsoft.com/office/drawing/2014/main" id="{4EB76A05-F597-24ED-8A8E-61FBDC9CCADB}"/>
            </a:ext>
          </a:extLst>
        </xdr:cNvPr>
        <xdr:cNvSpPr/>
      </xdr:nvSpPr>
      <xdr:spPr>
        <a:xfrm>
          <a:off x="4935310" y="5981643"/>
          <a:ext cx="1333500" cy="238125"/>
        </a:xfrm>
        <a:prstGeom prst="roundRect">
          <a:avLst/>
        </a:prstGeom>
        <a:solidFill>
          <a:srgbClr val="FFFCF7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6D7214A-7D50-4629-9CFD-1F465B6396F9}" type="TxLink">
            <a:rPr lang="en-US" sz="1100" b="1" i="0" u="none" strike="noStrike">
              <a:solidFill>
                <a:schemeClr val="accent4">
                  <a:lumMod val="75000"/>
                </a:schemeClr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 Stock faible</a:t>
          </a:fld>
          <a:endParaRPr lang="it-IT" sz="1100" b="1">
            <a:solidFill>
              <a:schemeClr val="accent4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3</xdr:col>
      <xdr:colOff>385697</xdr:colOff>
      <xdr:row>25</xdr:row>
      <xdr:rowOff>149678</xdr:rowOff>
    </xdr:from>
    <xdr:ext cx="2089098" cy="254493"/>
    <xdr:sp macro="" textlink="">
      <xdr:nvSpPr>
        <xdr:cNvPr id="4107" name="ZoneTexte 4106">
          <a:extLst>
            <a:ext uri="{FF2B5EF4-FFF2-40B4-BE49-F238E27FC236}">
              <a16:creationId xmlns:a16="http://schemas.microsoft.com/office/drawing/2014/main" id="{86210CEE-4197-7C1D-414A-83753663BC1B}"/>
            </a:ext>
          </a:extLst>
        </xdr:cNvPr>
        <xdr:cNvSpPr txBox="1"/>
      </xdr:nvSpPr>
      <xdr:spPr>
        <a:xfrm>
          <a:off x="2766947" y="4808991"/>
          <a:ext cx="2089098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Marchandise</a:t>
          </a:r>
          <a:r>
            <a:rPr lang="it-IT" sz="11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 à approvisionner</a:t>
          </a:r>
          <a:endParaRPr lang="it-IT" sz="11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 editAs="oneCell">
    <xdr:from>
      <xdr:col>0</xdr:col>
      <xdr:colOff>309563</xdr:colOff>
      <xdr:row>24</xdr:row>
      <xdr:rowOff>119064</xdr:rowOff>
    </xdr:from>
    <xdr:to>
      <xdr:col>2</xdr:col>
      <xdr:colOff>550863</xdr:colOff>
      <xdr:row>33</xdr:row>
      <xdr:rowOff>54496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110" name="Référence">
              <a:extLst>
                <a:ext uri="{FF2B5EF4-FFF2-40B4-BE49-F238E27FC236}">
                  <a16:creationId xmlns:a16="http://schemas.microsoft.com/office/drawing/2014/main" id="{C9856DDD-16DE-4F48-98CD-D0E7FB4951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563" y="4519240"/>
              <a:ext cx="1825065" cy="15490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289373</xdr:colOff>
      <xdr:row>6</xdr:row>
      <xdr:rowOff>134756</xdr:rowOff>
    </xdr:from>
    <xdr:to>
      <xdr:col>2</xdr:col>
      <xdr:colOff>530673</xdr:colOff>
      <xdr:row>13</xdr:row>
      <xdr:rowOff>71438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111" name="Mois">
              <a:extLst>
                <a:ext uri="{FF2B5EF4-FFF2-40B4-BE49-F238E27FC236}">
                  <a16:creationId xmlns:a16="http://schemas.microsoft.com/office/drawing/2014/main" id="{0C24D5A1-4FD3-4B97-BB7A-3E343C8658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373" y="1307638"/>
              <a:ext cx="1825065" cy="11917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269876</xdr:colOff>
      <xdr:row>14</xdr:row>
      <xdr:rowOff>142875</xdr:rowOff>
    </xdr:from>
    <xdr:to>
      <xdr:col>2</xdr:col>
      <xdr:colOff>510483</xdr:colOff>
      <xdr:row>23</xdr:row>
      <xdr:rowOff>9804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112" name="Catégories">
              <a:extLst>
                <a:ext uri="{FF2B5EF4-FFF2-40B4-BE49-F238E27FC236}">
                  <a16:creationId xmlns:a16="http://schemas.microsoft.com/office/drawing/2014/main" id="{1DA38A2E-638B-4915-964E-1BEA81B71B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876" y="2750110"/>
              <a:ext cx="1824372" cy="14805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298825</xdr:colOff>
      <xdr:row>0</xdr:row>
      <xdr:rowOff>58905</xdr:rowOff>
    </xdr:from>
    <xdr:to>
      <xdr:col>0</xdr:col>
      <xdr:colOff>724648</xdr:colOff>
      <xdr:row>1</xdr:row>
      <xdr:rowOff>104588</xdr:rowOff>
    </xdr:to>
    <xdr:pic>
      <xdr:nvPicPr>
        <xdr:cNvPr id="4114" name="Image 4113">
          <a:extLst>
            <a:ext uri="{FF2B5EF4-FFF2-40B4-BE49-F238E27FC236}">
              <a16:creationId xmlns:a16="http://schemas.microsoft.com/office/drawing/2014/main" id="{585D379A-0589-EDC0-85F1-DD980A936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825" y="58905"/>
          <a:ext cx="425823" cy="322095"/>
        </a:xfrm>
        <a:prstGeom prst="rect">
          <a:avLst/>
        </a:prstGeom>
      </xdr:spPr>
    </xdr:pic>
    <xdr:clientData/>
  </xdr:twoCellAnchor>
  <xdr:twoCellAnchor>
    <xdr:from>
      <xdr:col>0</xdr:col>
      <xdr:colOff>620059</xdr:colOff>
      <xdr:row>0</xdr:row>
      <xdr:rowOff>29882</xdr:rowOff>
    </xdr:from>
    <xdr:to>
      <xdr:col>2</xdr:col>
      <xdr:colOff>321235</xdr:colOff>
      <xdr:row>1</xdr:row>
      <xdr:rowOff>52294</xdr:rowOff>
    </xdr:to>
    <xdr:sp macro="" textlink="">
      <xdr:nvSpPr>
        <xdr:cNvPr id="4115" name="ZoneTexte 4114">
          <a:extLst>
            <a:ext uri="{FF2B5EF4-FFF2-40B4-BE49-F238E27FC236}">
              <a16:creationId xmlns:a16="http://schemas.microsoft.com/office/drawing/2014/main" id="{39AFFDD6-709B-7A8A-F772-FAEB38F7589C}"/>
            </a:ext>
          </a:extLst>
        </xdr:cNvPr>
        <xdr:cNvSpPr txBox="1"/>
      </xdr:nvSpPr>
      <xdr:spPr>
        <a:xfrm>
          <a:off x="620059" y="29882"/>
          <a:ext cx="1284941" cy="298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200" b="1">
              <a:latin typeface="Times New Roman" panose="02020603050405020304" pitchFamily="18" charset="0"/>
              <a:cs typeface="Times New Roman" panose="02020603050405020304" pitchFamily="18" charset="0"/>
            </a:rPr>
            <a:t>Marchandises</a:t>
          </a:r>
          <a:endParaRPr lang="it-IT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it-IT" sz="1100"/>
        </a:p>
      </xdr:txBody>
    </xdr:sp>
    <xdr:clientData/>
  </xdr:twoCellAnchor>
  <xdr:twoCellAnchor>
    <xdr:from>
      <xdr:col>0</xdr:col>
      <xdr:colOff>724647</xdr:colOff>
      <xdr:row>0</xdr:row>
      <xdr:rowOff>246529</xdr:rowOff>
    </xdr:from>
    <xdr:to>
      <xdr:col>2</xdr:col>
      <xdr:colOff>425823</xdr:colOff>
      <xdr:row>2</xdr:row>
      <xdr:rowOff>89647</xdr:rowOff>
    </xdr:to>
    <xdr:sp macro="" textlink="">
      <xdr:nvSpPr>
        <xdr:cNvPr id="4116" name="ZoneTexte 4115">
          <a:extLst>
            <a:ext uri="{FF2B5EF4-FFF2-40B4-BE49-F238E27FC236}">
              <a16:creationId xmlns:a16="http://schemas.microsoft.com/office/drawing/2014/main" id="{56D46719-0A83-5B5D-4F5E-405E16B39876}"/>
            </a:ext>
          </a:extLst>
        </xdr:cNvPr>
        <xdr:cNvSpPr txBox="1"/>
      </xdr:nvSpPr>
      <xdr:spPr>
        <a:xfrm>
          <a:off x="724647" y="246529"/>
          <a:ext cx="1284941" cy="298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000" baseline="0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Gestion  de Stock</a:t>
          </a:r>
        </a:p>
        <a:p>
          <a:pPr marL="0" indent="0"/>
          <a:endParaRPr lang="it-IT" sz="1000" baseline="0">
            <a:solidFill>
              <a:schemeClr val="bg2">
                <a:lumMod val="90000"/>
              </a:schemeClr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0</xdr:colOff>
      <xdr:row>3</xdr:row>
      <xdr:rowOff>156882</xdr:rowOff>
    </xdr:from>
    <xdr:to>
      <xdr:col>2</xdr:col>
      <xdr:colOff>493058</xdr:colOff>
      <xdr:row>5</xdr:row>
      <xdr:rowOff>97118</xdr:rowOff>
    </xdr:to>
    <xdr:sp macro="[1]!VersOpérations" textlink="">
      <xdr:nvSpPr>
        <xdr:cNvPr id="4117" name="ZoneTexte 4116">
          <a:extLst>
            <a:ext uri="{FF2B5EF4-FFF2-40B4-BE49-F238E27FC236}">
              <a16:creationId xmlns:a16="http://schemas.microsoft.com/office/drawing/2014/main" id="{896E639B-D14D-A56E-EFB9-E461F014200B}"/>
            </a:ext>
          </a:extLst>
        </xdr:cNvPr>
        <xdr:cNvSpPr txBox="1"/>
      </xdr:nvSpPr>
      <xdr:spPr>
        <a:xfrm>
          <a:off x="791882" y="791882"/>
          <a:ext cx="1284941" cy="298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50" baseline="0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Opérations</a:t>
          </a:r>
          <a:endParaRPr lang="it-IT" sz="1100" baseline="0">
            <a:solidFill>
              <a:schemeClr val="bg2">
                <a:lumMod val="90000"/>
              </a:schemeClr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it-IT" sz="900"/>
        </a:p>
      </xdr:txBody>
    </xdr:sp>
    <xdr:clientData/>
  </xdr:twoCellAnchor>
  <xdr:oneCellAnchor>
    <xdr:from>
      <xdr:col>0</xdr:col>
      <xdr:colOff>605118</xdr:colOff>
      <xdr:row>4</xdr:row>
      <xdr:rowOff>37353</xdr:rowOff>
    </xdr:from>
    <xdr:ext cx="184731" cy="264560"/>
    <xdr:sp macro="" textlink="">
      <xdr:nvSpPr>
        <xdr:cNvPr id="4119" name="ZoneTexte 4118">
          <a:extLst>
            <a:ext uri="{FF2B5EF4-FFF2-40B4-BE49-F238E27FC236}">
              <a16:creationId xmlns:a16="http://schemas.microsoft.com/office/drawing/2014/main" id="{BA4AB417-D8CB-BAB5-6568-F1D227375EB2}"/>
            </a:ext>
          </a:extLst>
        </xdr:cNvPr>
        <xdr:cNvSpPr txBox="1"/>
      </xdr:nvSpPr>
      <xdr:spPr>
        <a:xfrm>
          <a:off x="605118" y="85164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xdr:twoCellAnchor>
    <xdr:from>
      <xdr:col>0</xdr:col>
      <xdr:colOff>761999</xdr:colOff>
      <xdr:row>2</xdr:row>
      <xdr:rowOff>74705</xdr:rowOff>
    </xdr:from>
    <xdr:to>
      <xdr:col>2</xdr:col>
      <xdr:colOff>463175</xdr:colOff>
      <xdr:row>4</xdr:row>
      <xdr:rowOff>14941</xdr:rowOff>
    </xdr:to>
    <xdr:sp macro="" textlink="">
      <xdr:nvSpPr>
        <xdr:cNvPr id="4120" name="ZoneTexte 4119">
          <a:extLst>
            <a:ext uri="{FF2B5EF4-FFF2-40B4-BE49-F238E27FC236}">
              <a16:creationId xmlns:a16="http://schemas.microsoft.com/office/drawing/2014/main" id="{43196BF8-4D68-8EA2-87AE-0E41B85D1FA0}"/>
            </a:ext>
          </a:extLst>
        </xdr:cNvPr>
        <xdr:cNvSpPr txBox="1"/>
      </xdr:nvSpPr>
      <xdr:spPr>
        <a:xfrm>
          <a:off x="761999" y="530411"/>
          <a:ext cx="1284941" cy="298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 b="1"/>
            <a:t>Tableau de </a:t>
          </a:r>
          <a:r>
            <a:rPr lang="it-IT" sz="1000" b="1">
              <a:latin typeface="Times New Roman" panose="02020603050405020304" pitchFamily="18" charset="0"/>
              <a:cs typeface="Times New Roman" panose="02020603050405020304" pitchFamily="18" charset="0"/>
            </a:rPr>
            <a:t>Bord</a:t>
          </a:r>
        </a:p>
        <a:p>
          <a:endParaRPr lang="it-IT" sz="900"/>
        </a:p>
      </xdr:txBody>
    </xdr:sp>
    <xdr:clientData/>
  </xdr:twoCellAnchor>
  <xdr:twoCellAnchor>
    <xdr:from>
      <xdr:col>1</xdr:col>
      <xdr:colOff>29882</xdr:colOff>
      <xdr:row>5</xdr:row>
      <xdr:rowOff>7470</xdr:rowOff>
    </xdr:from>
    <xdr:to>
      <xdr:col>2</xdr:col>
      <xdr:colOff>522940</xdr:colOff>
      <xdr:row>6</xdr:row>
      <xdr:rowOff>119527</xdr:rowOff>
    </xdr:to>
    <xdr:sp macro="[1]!VersInventaire" textlink="">
      <xdr:nvSpPr>
        <xdr:cNvPr id="4121" name="ZoneTexte 4120">
          <a:extLst>
            <a:ext uri="{FF2B5EF4-FFF2-40B4-BE49-F238E27FC236}">
              <a16:creationId xmlns:a16="http://schemas.microsoft.com/office/drawing/2014/main" id="{425A8D90-E551-7E0D-CD55-7E2A8955F573}"/>
            </a:ext>
          </a:extLst>
        </xdr:cNvPr>
        <xdr:cNvSpPr txBox="1"/>
      </xdr:nvSpPr>
      <xdr:spPr>
        <a:xfrm>
          <a:off x="821764" y="1001058"/>
          <a:ext cx="1284941" cy="291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050" baseline="0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Inventaire</a:t>
          </a:r>
          <a:endParaRPr lang="it-IT" sz="1100" baseline="0">
            <a:solidFill>
              <a:schemeClr val="bg2">
                <a:lumMod val="90000"/>
              </a:schemeClr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marL="0" indent="0"/>
          <a:endParaRPr lang="it-IT" sz="1100" baseline="0">
            <a:solidFill>
              <a:schemeClr val="accent1">
                <a:lumMod val="40000"/>
                <a:lumOff val="60000"/>
              </a:schemeClr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433296</xdr:colOff>
      <xdr:row>2</xdr:row>
      <xdr:rowOff>44822</xdr:rowOff>
    </xdr:from>
    <xdr:to>
      <xdr:col>0</xdr:col>
      <xdr:colOff>649941</xdr:colOff>
      <xdr:row>3</xdr:row>
      <xdr:rowOff>82173</xdr:rowOff>
    </xdr:to>
    <xdr:pic>
      <xdr:nvPicPr>
        <xdr:cNvPr id="4132" name="Image 4131">
          <a:extLst>
            <a:ext uri="{FF2B5EF4-FFF2-40B4-BE49-F238E27FC236}">
              <a16:creationId xmlns:a16="http://schemas.microsoft.com/office/drawing/2014/main" id="{9B0509C3-71B1-6A47-539F-A9A205653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433296" y="500528"/>
          <a:ext cx="216645" cy="216645"/>
        </a:xfrm>
        <a:prstGeom prst="rect">
          <a:avLst/>
        </a:prstGeom>
      </xdr:spPr>
    </xdr:pic>
    <xdr:clientData/>
  </xdr:twoCellAnchor>
  <xdr:twoCellAnchor editAs="oneCell">
    <xdr:from>
      <xdr:col>0</xdr:col>
      <xdr:colOff>403413</xdr:colOff>
      <xdr:row>3</xdr:row>
      <xdr:rowOff>104589</xdr:rowOff>
    </xdr:from>
    <xdr:to>
      <xdr:col>0</xdr:col>
      <xdr:colOff>649941</xdr:colOff>
      <xdr:row>4</xdr:row>
      <xdr:rowOff>171823</xdr:rowOff>
    </xdr:to>
    <xdr:pic>
      <xdr:nvPicPr>
        <xdr:cNvPr id="4134" name="Image 4133">
          <a:extLst>
            <a:ext uri="{FF2B5EF4-FFF2-40B4-BE49-F238E27FC236}">
              <a16:creationId xmlns:a16="http://schemas.microsoft.com/office/drawing/2014/main" id="{D4DCDD16-4790-C80C-4232-BAE5B7414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03413" y="739589"/>
          <a:ext cx="246528" cy="246528"/>
        </a:xfrm>
        <a:prstGeom prst="rect">
          <a:avLst/>
        </a:prstGeom>
      </xdr:spPr>
    </xdr:pic>
    <xdr:clientData/>
  </xdr:twoCellAnchor>
  <xdr:twoCellAnchor editAs="oneCell">
    <xdr:from>
      <xdr:col>0</xdr:col>
      <xdr:colOff>410882</xdr:colOff>
      <xdr:row>4</xdr:row>
      <xdr:rowOff>171823</xdr:rowOff>
    </xdr:from>
    <xdr:to>
      <xdr:col>0</xdr:col>
      <xdr:colOff>640976</xdr:colOff>
      <xdr:row>6</xdr:row>
      <xdr:rowOff>43329</xdr:rowOff>
    </xdr:to>
    <xdr:pic>
      <xdr:nvPicPr>
        <xdr:cNvPr id="4136" name="Image 4135">
          <a:extLst>
            <a:ext uri="{FF2B5EF4-FFF2-40B4-BE49-F238E27FC236}">
              <a16:creationId xmlns:a16="http://schemas.microsoft.com/office/drawing/2014/main" id="{300D32C2-16BC-AE24-B72F-3F1C04ECB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882" y="986117"/>
          <a:ext cx="230094" cy="230094"/>
        </a:xfrm>
        <a:prstGeom prst="rect">
          <a:avLst/>
        </a:prstGeom>
      </xdr:spPr>
    </xdr:pic>
    <xdr:clientData/>
  </xdr:twoCellAnchor>
  <xdr:twoCellAnchor editAs="oneCell">
    <xdr:from>
      <xdr:col>13</xdr:col>
      <xdr:colOff>702234</xdr:colOff>
      <xdr:row>0</xdr:row>
      <xdr:rowOff>239058</xdr:rowOff>
    </xdr:from>
    <xdr:to>
      <xdr:col>14</xdr:col>
      <xdr:colOff>126352</xdr:colOff>
      <xdr:row>1</xdr:row>
      <xdr:rowOff>178646</xdr:rowOff>
    </xdr:to>
    <xdr:pic macro="[0]!Module8.actualiser">
      <xdr:nvPicPr>
        <xdr:cNvPr id="4138" name="Image 4137">
          <a:extLst>
            <a:ext uri="{FF2B5EF4-FFF2-40B4-BE49-F238E27FC236}">
              <a16:creationId xmlns:a16="http://schemas.microsoft.com/office/drawing/2014/main" id="{8785007F-94C6-C9F9-4334-B9DCDBD1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6705" y="239058"/>
          <a:ext cx="216000" cy="21600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0.36706</cdr:x>
      <cdr:y>0.23378</cdr:y>
    </cdr:from>
    <cdr:to>
      <cdr:x>0.63341</cdr:x>
      <cdr:y>0.61191</cdr:y>
    </cdr:to>
    <cdr:sp macro="" textlink="">
      <cdr:nvSpPr>
        <cdr:cNvPr id="2" name="Organigramme : Connecteur 1">
          <a:extLst xmlns:a="http://schemas.openxmlformats.org/drawingml/2006/main">
            <a:ext uri="{FF2B5EF4-FFF2-40B4-BE49-F238E27FC236}">
              <a16:creationId xmlns:a16="http://schemas.microsoft.com/office/drawing/2014/main" id="{002B66AA-6D08-8871-EFC5-6F4AE368175B}"/>
            </a:ext>
          </a:extLst>
        </cdr:cNvPr>
        <cdr:cNvSpPr/>
      </cdr:nvSpPr>
      <cdr:spPr>
        <a:xfrm xmlns:a="http://schemas.openxmlformats.org/drawingml/2006/main">
          <a:off x="825124" y="326882"/>
          <a:ext cx="598715" cy="528735"/>
        </a:xfrm>
        <a:prstGeom xmlns:a="http://schemas.openxmlformats.org/drawingml/2006/main" prst="flowChartConnector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0.37542</cdr:x>
      <cdr:y>0.2532</cdr:y>
    </cdr:from>
    <cdr:to>
      <cdr:x>0.62447</cdr:x>
      <cdr:y>0.77592</cdr:y>
    </cdr:to>
    <cdr:sp macro="" textlink="">
      <cdr:nvSpPr>
        <cdr:cNvPr id="3" name="ZoneTexte 54">
          <a:extLst xmlns:a="http://schemas.openxmlformats.org/drawingml/2006/main">
            <a:ext uri="{FF2B5EF4-FFF2-40B4-BE49-F238E27FC236}">
              <a16:creationId xmlns:a16="http://schemas.microsoft.com/office/drawing/2014/main" id="{64FF5DAF-5A7F-4C61-A428-7396A60DF00B}"/>
            </a:ext>
          </a:extLst>
        </cdr:cNvPr>
        <cdr:cNvSpPr txBox="1"/>
      </cdr:nvSpPr>
      <cdr:spPr>
        <a:xfrm xmlns:a="http://schemas.openxmlformats.org/drawingml/2006/main">
          <a:off x="843902" y="354045"/>
          <a:ext cx="559837" cy="7308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it-IT" sz="7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</a:t>
          </a:r>
          <a:r>
            <a:rPr lang="it-IT" sz="7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categorie</a:t>
          </a:r>
          <a:endParaRPr lang="it-IT" sz="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525780</xdr:colOff>
      <xdr:row>37</xdr:row>
      <xdr:rowOff>76200</xdr:rowOff>
    </xdr:from>
    <xdr:to>
      <xdr:col>5</xdr:col>
      <xdr:colOff>601980</xdr:colOff>
      <xdr:row>46</xdr:row>
      <xdr:rowOff>57150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7E8F6AF-72D5-E0EC-7E09-793FC5CCF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655320</xdr:colOff>
      <xdr:row>32</xdr:row>
      <xdr:rowOff>152400</xdr:rowOff>
    </xdr:from>
    <xdr:to>
      <xdr:col>9</xdr:col>
      <xdr:colOff>525780</xdr:colOff>
      <xdr:row>40</xdr:row>
      <xdr:rowOff>87630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A426DEE-BD7C-3A42-4444-CCE4B6020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MPEREUR%20DALIKAN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</sheetNames>
    <definedNames>
      <definedName name="VersInventaire"/>
      <definedName name="VersOpérations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PEREUR DALIKAN" refreshedDate="46233.647367245372" createdVersion="8" refreshedVersion="8" minRefreshableVersion="3" recordCount="11" xr:uid="{48914CF2-5FEC-4424-B079-615ADACDB1BC}">
  <cacheSource type="worksheet">
    <worksheetSource name="listeInventaire"/>
  </cacheSource>
  <cacheFields count="12">
    <cacheField name="Référence" numFmtId="0">
      <sharedItems/>
    </cacheField>
    <cacheField name="Désignation" numFmtId="0">
      <sharedItems count="9">
        <s v="GOOGLE PIXEL 5"/>
        <s v="IPHONE 13 PRO"/>
        <s v="Oreo"/>
        <s v="Réfrigérateur WHIRLPOOL"/>
        <s v="Réfrigérateur SIERA"/>
        <s v="Cuisinière SIERA"/>
        <s v="Cuisinière CANDY"/>
        <s v="PLAYSTATION PS5 "/>
        <s v="NINTENDO SWITCH"/>
      </sharedItems>
    </cacheField>
    <cacheField name="Catégorie" numFmtId="0">
      <sharedItems count="4">
        <s v="SmartPhone"/>
        <s v="Biscuits "/>
        <s v="Electro"/>
        <s v="Consoles"/>
      </sharedItems>
    </cacheField>
    <cacheField name="Unité" numFmtId="0">
      <sharedItems/>
    </cacheField>
    <cacheField name="Seuil d'alerte" numFmtId="0">
      <sharedItems containsSemiMixedTypes="0" containsString="0" containsNumber="1" containsInteger="1" minValue="10" maxValue="50"/>
    </cacheField>
    <cacheField name="Stock initial" numFmtId="0">
      <sharedItems containsSemiMixedTypes="0" containsString="0" containsNumber="1" containsInteger="1" minValue="0" maxValue="20"/>
    </cacheField>
    <cacheField name="Entrées" numFmtId="0">
      <sharedItems containsSemiMixedTypes="0" containsString="0" containsNumber="1" containsInteger="1" minValue="24" maxValue="320"/>
    </cacheField>
    <cacheField name="Sorties" numFmtId="0">
      <sharedItems containsSemiMixedTypes="0" containsString="0" containsNumber="1" containsInteger="1" minValue="21" maxValue="195"/>
    </cacheField>
    <cacheField name="Stock final" numFmtId="0">
      <sharedItems containsSemiMixedTypes="0" containsString="0" containsNumber="1" containsInteger="1" minValue="0" maxValue="130"/>
    </cacheField>
    <cacheField name="CUMP" numFmtId="164">
      <sharedItems containsSemiMixedTypes="0" containsString="0" containsNumber="1" minValue="0.20904761904761907" maxValue="1400"/>
    </cacheField>
    <cacheField name="Valeur" numFmtId="164">
      <sharedItems containsSemiMixedTypes="0" containsString="0" containsNumber="1" minValue="0" maxValue="16800"/>
    </cacheField>
    <cacheField name="Statue" numFmtId="0">
      <sharedItems count="3">
        <s v="Stock normal"/>
        <s v="Stock faible"/>
        <s v="Non dispon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8.016978356478" backgroundQuery="1" createdVersion="8" refreshedVersion="8" minRefreshableVersion="3" recordCount="0" supportSubquery="1" supportAdvancedDrill="1" xr:uid="{20F2A81F-56B3-4E91-B9D9-3F92597EAEB7}">
  <cacheSource type="external" connectionId="1"/>
  <cacheFields count="1">
    <cacheField name="[Measures].[Somme de Quantité]" caption="Somme de Quantité" numFmtId="0" hierarchy="31" level="32767"/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9.728833680558" backgroundQuery="1" createdVersion="8" refreshedVersion="8" minRefreshableVersion="3" recordCount="0" supportSubquery="1" supportAdvancedDrill="1" xr:uid="{8C42AA6D-CA05-406B-B705-7C6231C48A70}">
  <cacheSource type="external" connectionId="1"/>
  <cacheFields count="4">
    <cacheField name="[listeAchats].[Date].[Date]" caption="Date" numFmtId="0" hierarchy="4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2" level="1">
      <sharedItems count="5">
        <s v="janv"/>
        <s v="févr"/>
        <s v="mars"/>
        <s v="avr"/>
        <s v="mai"/>
      </sharedItems>
    </cacheField>
    <cacheField name="[Measures].[Somme de Quantité]" caption="Somme de Quantité" numFmtId="0" hierarchy="31" level="32767"/>
    <cacheField name="[lesReferences].[Référence].[Référence]" caption="Référence" numFmtId="0" hierarchy="2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9.72883414352" backgroundQuery="1" createdVersion="8" refreshedVersion="8" minRefreshableVersion="3" recordCount="0" supportSubquery="1" supportAdvancedDrill="1" xr:uid="{232E54C8-8B58-41D3-B3EE-37854002D851}">
  <cacheSource type="external" connectionId="1"/>
  <cacheFields count="4">
    <cacheField name="[Measures].[Somme de Quantité 2]" caption="Somme de Quantité 2" numFmtId="0" hierarchy="34" level="32767"/>
    <cacheField name="[listeVentes].[Date (mois)].[Date (mois)]" caption="Date (mois)" numFmtId="0" hierarchy="22" level="1">
      <sharedItems count="5">
        <s v="janv"/>
        <s v="févr"/>
        <s v="mars"/>
        <s v="avr"/>
        <s v="mai"/>
      </sharedItems>
    </cacheField>
    <cacheField name="[listeVentes].[Date].[Date]" caption="Date" numFmtId="0" hierarchy="14" level="1">
      <sharedItems containsSemiMixedTypes="0" containsNonDate="0" containsDate="1" containsString="0" minDate="2022-05-03T00:00:00" maxDate="2022-05-23T00:00:00" count="8"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esReferences].[Référence].[Référence]" caption="Référence" numFmtId="0" hierarchy="2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2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9.728834837966" backgroundQuery="1" createdVersion="8" refreshedVersion="8" minRefreshableVersion="3" recordCount="0" supportSubquery="1" supportAdvancedDrill="1" xr:uid="{7D8213D0-EB11-43ED-BDDE-9166B600FD96}">
  <cacheSource type="external" connectionId="1"/>
  <cacheFields count="5">
    <cacheField name="[listeAchats].[Date (mois)].[Date (mois)]" caption="Date (mois)" numFmtId="0" hierarchy="12" level="1">
      <sharedItems count="5">
        <s v="janv"/>
        <s v="févr"/>
        <s v="mars"/>
        <s v="avr"/>
        <s v="mai"/>
      </sharedItems>
    </cacheField>
    <cacheField name="[listeAchats].[Date].[Date]" caption="Date" numFmtId="0" hierarchy="4" level="1">
      <sharedItems containsSemiMixedTypes="0" containsNonDate="0" containsDate="1" containsString="0" minDate="2022-05-02T00:00:00" maxDate="2022-05-23T00:00:00" count="8"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Measures].[Somme de Total]" caption="Somme de Total" numFmtId="0" hierarchy="32" level="32767"/>
    <cacheField name="[lesReferences].[Référence].[Référence]" caption="Référence" numFmtId="0" hierarchy="2" level="1">
      <sharedItems containsSemiMixedTypes="0" containsNonDate="0" containsString="0"/>
    </cacheField>
    <cacheField name="Dummy0" numFmtId="0" hierarchy="3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6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1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9.728835648151" backgroundQuery="1" createdVersion="8" refreshedVersion="8" minRefreshableVersion="3" recordCount="0" supportSubquery="1" supportAdvancedDrill="1" xr:uid="{DA4D78F9-66C6-4CF7-BA38-4FCC020139A0}">
  <cacheSource type="external" connectionId="1"/>
  <cacheFields count="5">
    <cacheField name="[listeVentes].[Date (mois)].[Date (mois)]" caption="Date (mois)" numFmtId="0" hierarchy="22" level="1">
      <sharedItems count="5">
        <s v="janv"/>
        <s v="févr"/>
        <s v="mars"/>
        <s v="avr"/>
        <s v="mai"/>
      </sharedItems>
    </cacheField>
    <cacheField name="[Measures].[Somme de Total 2]" caption="Somme de Total 2" numFmtId="0" hierarchy="33" level="32767"/>
    <cacheField name="[listeVentes].[Date].[Date]" caption="Date" numFmtId="0" hierarchy="14" level="1">
      <sharedItems containsSemiMixedTypes="0" containsNonDate="0" containsDate="1" containsString="0" minDate="2022-05-03T00:00:00" maxDate="2022-05-23T00:00:00" count="8"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esReferences].[Référence].[Référence]" caption="Référence" numFmtId="0" hierarchy="2" level="1">
      <sharedItems containsSemiMixedTypes="0" containsNonDate="0" containsString="0"/>
    </cacheField>
    <cacheField name="Dummy0" numFmtId="0" hierarchy="3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6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2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2974537" backgroundQuery="1" createdVersion="8" refreshedVersion="8" minRefreshableVersion="3" recordCount="0" supportSubquery="1" supportAdvancedDrill="1" xr:uid="{739748C7-153E-40AE-9EB4-12DB67419EF9}">
  <cacheSource type="external" connectionId="1"/>
  <cacheFields count="3">
    <cacheField name="[Measures].[Somme de Quantité]" caption="Somme de Quantité" numFmtId="0" hierarchy="31" level="32767"/>
    <cacheField name="[Measures].[Somme de Total]" caption="Somme de Total" numFmtId="0" hierarchy="32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30324077" backgroundQuery="1" createdVersion="8" refreshedVersion="8" minRefreshableVersion="3" recordCount="0" supportSubquery="1" supportAdvancedDrill="1" xr:uid="{58A39569-0726-4D8E-AA87-43C8EAF97F82}">
  <cacheSource type="external" connectionId="1"/>
  <cacheFields count="3">
    <cacheField name="[Measures].[Somme de Quantité 2]" caption="Somme de Quantité 2" numFmtId="0" hierarchy="34" level="32767"/>
    <cacheField name="[Measures].[Somme de Total 2]" caption="Somme de Total 2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30902778" backgroundQuery="1" createdVersion="8" refreshedVersion="8" minRefreshableVersion="3" recordCount="0" supportSubquery="1" supportAdvancedDrill="1" xr:uid="{D0C0321B-5B22-4250-83DB-1565593BF0A1}">
  <cacheSource type="external" connectionId="1"/>
  <cacheFields count="3">
    <cacheField name="[listeVentes].[Désignation].[Désignation]" caption="Désignation" numFmtId="0" hierarchy="16" level="1">
      <sharedItems count="3">
        <s v="Cuisinière CANDY"/>
        <s v="GOOGLE PIXEL 5"/>
        <s v="IPHONE 13 PRO"/>
      </sharedItems>
    </cacheField>
    <cacheField name="[Measures].[Somme de Total 2]" caption="Somme de Total 2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31597224" backgroundQuery="1" createdVersion="8" refreshedVersion="8" minRefreshableVersion="3" recordCount="0" supportSubquery="1" supportAdvancedDrill="1" xr:uid="{74630B8C-89B8-4CD3-95C0-73054E01D5EF}">
  <cacheSource type="external" connectionId="1"/>
  <cacheFields count="3">
    <cacheField name="[listeAchats].[Catégorie].[Catégorie]" caption="Catégorie" numFmtId="0" hierarchy="7" level="1">
      <sharedItems count="4">
        <s v="Biscuits"/>
        <s v="Consoles"/>
        <s v="Electro"/>
        <s v="SmartPhone"/>
      </sharedItems>
    </cacheField>
    <cacheField name="[Measures].[Somme de Quantité]" caption="Somme de Quantité" numFmtId="0" hierarchy="31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32175925" backgroundQuery="1" createdVersion="8" refreshedVersion="8" minRefreshableVersion="3" recordCount="0" supportSubquery="1" supportAdvancedDrill="1" xr:uid="{7E49DD99-D557-47D1-A753-EFF9F22877C9}">
  <cacheSource type="external" connectionId="1"/>
  <cacheFields count="3">
    <cacheField name="[listeAchats].[Catégorie].[Catégorie]" caption="Catégorie" numFmtId="0" hierarchy="7" level="1">
      <sharedItems count="4">
        <s v="Biscuits"/>
        <s v="Consoles"/>
        <s v="Electro"/>
        <s v="SmartPhone"/>
      </sharedItems>
    </cacheField>
    <cacheField name="[Measures].[Somme de Total]" caption="Somme de Total" numFmtId="0" hierarchy="32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32870372" backgroundQuery="1" createdVersion="8" refreshedVersion="8" minRefreshableVersion="3" recordCount="0" supportSubquery="1" supportAdvancedDrill="1" xr:uid="{235D716E-DB6D-4394-9377-23E3D8E01631}">
  <cacheSource type="external" connectionId="1"/>
  <cacheFields count="3">
    <cacheField name="[listeVentes].[Catégorie].[Catégorie]" caption="Catégorie" numFmtId="0" hierarchy="17" level="1">
      <sharedItems count="4">
        <s v="Biscuits"/>
        <s v="Consoles"/>
        <s v="Electro"/>
        <s v="SmartPhone"/>
      </sharedItems>
    </cacheField>
    <cacheField name="[Measures].[Somme de Quantité 2]" caption="Somme de Quantité 2" numFmtId="0" hierarchy="34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48.003933449072" backgroundQuery="1" createdVersion="8" refreshedVersion="8" minRefreshableVersion="3" recordCount="0" supportSubquery="1" supportAdvancedDrill="1" xr:uid="{6DC7BD24-9F66-4EC1-8805-AF29F25E1784}">
  <cacheSource type="external" connectionId="1"/>
  <cacheFields count="3">
    <cacheField name="[listeVentes].[Catégorie].[Catégorie]" caption="Catégorie" numFmtId="0" hierarchy="17" level="1">
      <sharedItems count="4">
        <s v="Biscuits"/>
        <s v="Consoles"/>
        <s v="Electro"/>
        <s v="SmartPhone"/>
      </sharedItems>
    </cacheField>
    <cacheField name="[Measures].[Somme de Total 2]" caption="Somme de Total 2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3.64736412037" backgroundQuery="1" createdVersion="3" refreshedVersion="8" minRefreshableVersion="3" recordCount="0" supportSubquery="1" supportAdvancedDrill="1" xr:uid="{C64C1305-2DA0-4DF0-842D-5EFD617E23F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64998595"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PEREUR DALIKAN" refreshedDate="46239.410532407404" backgroundQuery="1" createdVersion="3" refreshedVersion="8" minRefreshableVersion="3" recordCount="0" supportSubquery="1" supportAdvancedDrill="1" xr:uid="{7E8815C9-8223-4D48-8AF6-7175F190A7F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5">
    <cacheHierarchy uniqueName="[lesCategories].[Catégorie]" caption="Catégorie" attribute="1" defaultMemberUniqueName="[lesCategories].[Catégorie].[All]" allUniqueName="[lesCategories].[Catégorie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]" caption="Référence" attribute="1" defaultMemberUniqueName="[lesReferences].[Référence].[All]" allUniqueName="[lesReferences].[Référence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96254905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S1"/>
    <x v="0"/>
    <x v="0"/>
    <s v="1 unité"/>
    <n v="10"/>
    <n v="20"/>
    <n v="55"/>
    <n v="60"/>
    <n v="15"/>
    <n v="599.4666666666667"/>
    <n v="8992"/>
    <x v="0"/>
  </r>
  <r>
    <s v="S2"/>
    <x v="1"/>
    <x v="0"/>
    <s v="1 unité"/>
    <n v="10"/>
    <n v="3"/>
    <n v="96"/>
    <n v="87"/>
    <n v="12"/>
    <n v="1400"/>
    <n v="16800"/>
    <x v="0"/>
  </r>
  <r>
    <s v="B1"/>
    <x v="2"/>
    <x v="1"/>
    <s v="1 unité "/>
    <n v="10"/>
    <n v="10"/>
    <n v="95"/>
    <n v="79"/>
    <n v="26"/>
    <n v="0.20904761904761907"/>
    <n v="5.4352380952380956"/>
    <x v="0"/>
  </r>
  <r>
    <s v="B2"/>
    <x v="2"/>
    <x v="1"/>
    <s v="Pack de 10 unités"/>
    <n v="50"/>
    <n v="15"/>
    <n v="147"/>
    <n v="64"/>
    <n v="98"/>
    <n v="2"/>
    <n v="196"/>
    <x v="0"/>
  </r>
  <r>
    <s v="B3"/>
    <x v="2"/>
    <x v="1"/>
    <s v="Pack de 20 unités"/>
    <n v="20"/>
    <n v="5"/>
    <n v="320"/>
    <n v="195"/>
    <n v="130"/>
    <n v="4"/>
    <n v="520"/>
    <x v="0"/>
  </r>
  <r>
    <s v="E1"/>
    <x v="3"/>
    <x v="2"/>
    <s v="1 unité"/>
    <n v="10"/>
    <n v="5"/>
    <n v="24"/>
    <n v="21"/>
    <n v="8"/>
    <n v="700"/>
    <n v="5600"/>
    <x v="1"/>
  </r>
  <r>
    <s v="E2"/>
    <x v="4"/>
    <x v="2"/>
    <s v="1 unité"/>
    <n v="10"/>
    <n v="3"/>
    <n v="40"/>
    <n v="24"/>
    <n v="19"/>
    <n v="300"/>
    <n v="5700"/>
    <x v="0"/>
  </r>
  <r>
    <s v="E3"/>
    <x v="5"/>
    <x v="2"/>
    <s v="1 unité"/>
    <n v="10"/>
    <n v="6"/>
    <n v="65"/>
    <n v="28"/>
    <n v="43"/>
    <n v="150"/>
    <n v="6450"/>
    <x v="0"/>
  </r>
  <r>
    <s v="E4"/>
    <x v="6"/>
    <x v="2"/>
    <s v="1 unité"/>
    <n v="10"/>
    <n v="0"/>
    <n v="60"/>
    <n v="60"/>
    <n v="0"/>
    <n v="500"/>
    <n v="0"/>
    <x v="2"/>
  </r>
  <r>
    <s v="C1"/>
    <x v="7"/>
    <x v="3"/>
    <s v="1 unité"/>
    <n v="10"/>
    <n v="3"/>
    <n v="50"/>
    <n v="40"/>
    <n v="13"/>
    <n v="751.88679245283015"/>
    <n v="9774.5283018867922"/>
    <x v="0"/>
  </r>
  <r>
    <s v="C2"/>
    <x v="8"/>
    <x v="3"/>
    <s v="1 unité"/>
    <n v="10"/>
    <n v="6"/>
    <n v="40"/>
    <n v="44"/>
    <n v="2"/>
    <n v="407.06521739130437"/>
    <n v="814.1304347826087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9A4C2-D702-40E6-A2FF-E11DBFF6E733}" name="Tableau croisé dynamique24" cacheId="49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10:B114" firstHeaderRow="1" firstDataRow="1" firstDataCol="1" rowPageCount="1" colPageCount="1"/>
  <pivotFields count="12">
    <pivotField showAll="0"/>
    <pivotField axis="axisRow" showAll="0">
      <items count="10">
        <item x="6"/>
        <item x="5"/>
        <item x="0"/>
        <item x="1"/>
        <item x="8"/>
        <item x="2"/>
        <item x="7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x="2"/>
        <item x="1"/>
        <item h="1" x="0"/>
        <item t="default"/>
      </items>
    </pivotField>
  </pivotFields>
  <rowFields count="1">
    <field x="1"/>
  </rowFields>
  <rowItems count="4">
    <i>
      <x/>
    </i>
    <i>
      <x v="4"/>
    </i>
    <i>
      <x v="8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174EF3-5372-4AD4-A48A-729129FD213D}" name="Top3" cacheId="772" applyNumberFormats="0" applyBorderFormats="0" applyFontFormats="0" applyPatternFormats="0" applyAlignmentFormats="0" applyWidthHeightFormats="1" dataCaption="Valeurs" tag="23234b3d-6731-4c2c-849c-f3651c513483" updatedVersion="8" minRefreshableVersion="3" useAutoFormatting="1" itemPrintTitles="1" createdVersion="8" indent="0" outline="1" outlineData="1" multipleFieldFilters="0" chartFormat="5">
  <location ref="A95:B99" firstHeaderRow="1" firstDataRow="1" firstDataCol="1"/>
  <pivotFields count="3"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1" baseField="0" baseItem="0" numFmtId="171"/>
  </dataFields>
  <formats count="1">
    <format dxfId="20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3">
      <autoFilter ref="A1">
        <filterColumn colId="0">
          <top10 val="3" filterVal="3"/>
        </filterColumn>
      </autoFilter>
    </filter>
  </filters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2B854-1B92-4AE1-AA80-4DE993D87D59}" name="ValeurSortieMois" cacheId="698" applyNumberFormats="0" applyBorderFormats="0" applyFontFormats="0" applyPatternFormats="0" applyAlignmentFormats="0" applyWidthHeightFormats="1" dataCaption="Valeurs" tag="83d1446d-392e-4c15-8905-b11d0cf503e1" updatedVersion="8" minRefreshableVersion="3" useAutoFormatting="1" itemPrintTitles="1" createdVersion="8" indent="0" outline="1" outlineData="1" multipleFieldFilters="0" chartFormat="9">
  <location ref="A87:C93" firstHeaderRow="0" firstDataRow="1" firstDataCol="1"/>
  <pivotFields count="5">
    <pivotField axis="axisRow" allDrilled="1" subtotalTop="0" showAll="0" dataSourceSort="1" defaultSubtotal="0" defaultAttributeDrillState="1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0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1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1" uniqueName="[__Xl2].[Measures].[Somme de Total 2]"/>
        </ext>
      </extLst>
    </dataField>
  </dataFields>
  <formats count="1">
    <format dxfId="21">
      <pivotArea outline="0" collapsedLevelsAreSubtotals="1" fieldPosition="0"/>
    </format>
  </formats>
  <chartFormats count="2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DD00B-7B29-4A03-ACFC-660613405C58}" name="ValeurEntréeMois" cacheId="696" applyNumberFormats="0" applyBorderFormats="0" applyFontFormats="0" applyPatternFormats="0" applyAlignmentFormats="0" applyWidthHeightFormats="1" dataCaption="Valeurs" tag="5a92ccda-8b8d-45e1-a015-21369d7cebe5" updatedVersion="8" minRefreshableVersion="3" useAutoFormatting="1" itemPrintTitles="1" createdVersion="8" indent="0" outline="1" outlineData="1" multipleFieldFilters="0" chartFormat="8">
  <location ref="A78:C84" firstHeaderRow="0" firstDataRow="1" firstDataCol="1"/>
  <pivotFields count="5">
    <pivotField axis="axisRow" allDrilled="1" subtotalTop="0" showAll="0" dataSourceSort="1" defaultSubtotal="0" defaultAttributeDrillState="1">
      <items count="5">
        <item x="0" e="0"/>
        <item x="1" e="0"/>
        <item x="2" e="0"/>
        <item x="3" e="0"/>
        <item x="4" e="0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0"/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</dataFields>
  <formats count="1">
    <format dxfId="22">
      <pivotArea outline="0" collapsedLevelsAreSubtotals="1" fieldPosition="0"/>
    </format>
  </format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9AA2F9-DADE-4757-83F9-30E3C07FF0FC}" name="StockSortieMois" cacheId="694" applyNumberFormats="0" applyBorderFormats="0" applyFontFormats="0" applyPatternFormats="0" applyAlignmentFormats="0" applyWidthHeightFormats="1" dataCaption="Valeurs" tag="620a2d2d-180f-423e-bfb6-9d739a782a59" updatedVersion="8" minRefreshableVersion="3" useAutoFormatting="1" itemPrintTitles="1" createdVersion="8" indent="0" outline="1" outlineData="1" multipleFieldFilters="0">
  <location ref="A70:B76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5">
        <item x="0" e="0"/>
        <item x="1" e="0"/>
        <item x="2" e="0"/>
        <item x="3" e="0"/>
        <item x="4" e="0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2">
    <field x="1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0" baseField="0" baseItem="0"/>
  </dataFields>
  <pivotHierarchies count="35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9FA9FB-8CC7-44A7-ABF2-3B234D525342}" name="rien" cacheId="392" applyNumberFormats="0" applyBorderFormats="0" applyFontFormats="0" applyPatternFormats="0" applyAlignmentFormats="0" applyWidthHeightFormats="1" dataCaption="Valeurs" tag="160b6dad-d79e-41a6-aa1e-4ad81b176b03" updatedVersion="8" minRefreshableVersion="3" useAutoFormatting="1" subtotalHiddenItems="1" itemPrintTitles="1" createdVersion="8" indent="0" outline="1" outlineData="1" multipleFieldFilters="0" rowHeaderCaption="">
  <location ref="A62:A63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Somme de Quantité" fld="0" baseField="0" baseItem="0"/>
  </dataFields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246CC9-A7B8-489D-A2BF-6D48C004A938}" name="StockEntréeMois" cacheId="692" applyNumberFormats="0" applyBorderFormats="0" applyFontFormats="0" applyPatternFormats="0" applyAlignmentFormats="0" applyWidthHeightFormats="1" dataCaption="Valeurs" tag="08ae78e6-107a-4eff-9460-e4c23fbba7ef" updatedVersion="8" minRefreshableVersion="3" useAutoFormatting="1" subtotalHiddenItems="1" itemPrintTitles="1" createdVersion="8" indent="0" outline="1" outlineData="1" multipleFieldFilters="0">
  <location ref="A54:B60" firstHeaderRow="1" firstDataRow="1" firstDataCol="1"/>
  <pivotFields count="4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35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72574B-6283-426B-B2A6-8B6FF71CE070}" name="SortieValeurCategories" cacheId="784" applyNumberFormats="0" applyBorderFormats="0" applyFontFormats="0" applyPatternFormats="0" applyAlignmentFormats="0" applyWidthHeightFormats="1" dataCaption="Valeurs" tag="fb299523-3c22-4ec2-bcc4-beabcaae6f74" updatedVersion="8" minRefreshableVersion="3" useAutoFormatting="1" itemPrintTitles="1" createdVersion="8" indent="0" outline="1" outlineData="1" multipleFieldFilters="0" chartFormat="6">
  <location ref="A47:B52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/>
  </dataFields>
  <formats count="2">
    <format dxfId="28">
      <pivotArea collapsedLevelsAreSubtotals="1" fieldPosition="0">
        <references count="1">
          <reference field="0" count="0"/>
        </references>
      </pivotArea>
    </format>
    <format dxfId="26">
      <pivotArea grandRow="1" outline="0" collapsedLevelsAreSubtotals="1" fieldPosition="0"/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F6D540-426C-4F7B-A3CF-A57FD24865BB}" name="SortieTotalCategories" cacheId="781" applyNumberFormats="0" applyBorderFormats="0" applyFontFormats="0" applyPatternFormats="0" applyAlignmentFormats="0" applyWidthHeightFormats="1" dataCaption="Valeurs" tag="f493f29f-d432-488e-80d9-142a83d32931" updatedVersion="8" minRefreshableVersion="3" useAutoFormatting="1" itemPrintTitles="1" createdVersion="8" indent="0" outline="1" outlineData="1" multipleFieldFilters="0" chartFormat="6">
  <location ref="A40:B45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D984CC-598E-4D4D-93BB-1FE2104FE532}" name="EntreeValeurCategories" cacheId="778" applyNumberFormats="0" applyBorderFormats="0" applyFontFormats="0" applyPatternFormats="0" applyAlignmentFormats="0" applyWidthHeightFormats="1" dataCaption="Valeurs" tag="7bed4768-92a6-45b2-81d9-1e254a7b6ef3" updatedVersion="8" minRefreshableVersion="3" useAutoFormatting="1" itemPrintTitles="1" createdVersion="8" indent="0" outline="1" outlineData="1" multipleFieldFilters="0" chartFormat="8">
  <location ref="A33:B38" firstHeaderRow="1" firstDataRow="1" firstDataCol="1"/>
  <pivotFields count="3">
    <pivotField axis="axisRow" allDrilled="1" subtotalTop="0" showAll="0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/>
  </dataFields>
  <formats count="2">
    <format dxfId="29">
      <pivotArea collapsedLevelsAreSubtotals="1" fieldPosition="0">
        <references count="1">
          <reference field="0" count="0"/>
        </references>
      </pivotArea>
    </format>
    <format dxfId="27">
      <pivotArea grandRow="1" outline="0" collapsedLevelsAreSubtotals="1" fieldPosition="0"/>
    </format>
  </formats>
  <chartFormats count="5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1874E-E8CD-4A1F-BE8B-F1B7EE172937}" name="EntreeTotalCategories" cacheId="775" applyNumberFormats="0" applyBorderFormats="0" applyFontFormats="0" applyPatternFormats="0" applyAlignmentFormats="0" applyWidthHeightFormats="1" dataCaption="Valeurs" tag="a0ec1684-39ce-476d-b773-1956dae0b525" updatedVersion="8" minRefreshableVersion="3" useAutoFormatting="1" itemPrintTitles="1" createdVersion="8" indent="0" outline="1" outlineData="1" multipleFieldFilters="0" chartFormat="8">
  <location ref="A26:B31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5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BFAC2-B2B5-4BD4-ACDD-2C18A8C7C23B}" name="StockValeurCategories" cacheId="49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A19:B24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Valeur" fld="10" baseField="0" baseItem="0"/>
  </dataFields>
  <formats count="3">
    <format dxfId="32">
      <pivotArea collapsedLevelsAreSubtotals="1" fieldPosition="0">
        <references count="1">
          <reference field="2" count="1">
            <x v="0"/>
          </reference>
        </references>
      </pivotArea>
    </format>
    <format dxfId="31">
      <pivotArea collapsedLevelsAreSubtotals="1" fieldPosition="0">
        <references count="1">
          <reference field="2" count="2">
            <x v="1"/>
            <x v="2"/>
          </reference>
        </references>
      </pivotArea>
    </format>
    <format dxfId="30">
      <pivotArea collapsedLevelsAreSubtotals="1" fieldPosition="0">
        <references count="1">
          <reference field="2" count="1">
            <x v="3"/>
          </reference>
        </references>
      </pivotArea>
    </format>
  </formats>
  <chartFormats count="5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EE7F4-DFD2-478F-A20B-2156BF4BD943}" name="StockTotalCategories" cacheId="49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12:B17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Stock final" fld="8" baseField="0" baseItem="0"/>
  </dataFields>
  <chartFormats count="5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3C8EE-ADD4-46A9-B382-1D7E5B1C7FA0}" name="TC3" cacheId="769" applyNumberFormats="0" applyBorderFormats="0" applyFontFormats="0" applyPatternFormats="0" applyAlignmentFormats="0" applyWidthHeightFormats="1" dataCaption="Valeurs" tag="37abb4c4-0a3e-4756-92e0-826fbd209e5f" updatedVersion="8" minRefreshableVersion="3" useAutoFormatting="1" subtotalHiddenItems="1" itemPrintTitles="1" createdVersion="8" indent="0" outline="1" outlineData="1" multipleFieldFilters="0">
  <location ref="A9:B10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4"/>
  </dataFields>
  <formats count="1">
    <format dxfId="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5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  <x15:activeTabTopLevelEntity name="[lesCategorie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9DF30-2A2E-4B7C-974F-A7DBA5492978}" name="TC2" cacheId="766" applyNumberFormats="0" applyBorderFormats="0" applyFontFormats="0" applyPatternFormats="0" applyAlignmentFormats="0" applyWidthHeightFormats="1" dataCaption="Valeurs" tag="55dbd504-1775-44a2-89e8-5712b2754416" updatedVersion="8" minRefreshableVersion="3" useAutoFormatting="1" subtotalHiddenItems="1" itemPrintTitles="1" createdVersion="8" indent="0" outline="1" outlineData="1" multipleFieldFilters="0">
  <location ref="A6:B7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4"/>
  </dataFields>
  <formats count="1"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5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Categories]"/>
        <x15:activeTabTopLevelEntity name="[lesReference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6E2E73-0717-494E-A9F9-6C8219113F72}" name="TC1" cacheId="49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B4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4"/>
  </dataFields>
  <formats count="1"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" xr10:uid="{61C91386-7A55-4A29-BFB2-5EEE6B2709AE}" sourceName="[lesReferences].[Référence]">
  <pivotTables>
    <pivotTable tabId="14" name="TC2"/>
    <pivotTable tabId="14" name="StockEntréeMois"/>
    <pivotTable tabId="14" name="StockSortieMois"/>
    <pivotTable tabId="14" name="ValeurEntréeMois"/>
    <pivotTable tabId="14" name="ValeurSortieMois"/>
  </pivotTables>
  <data>
    <olap pivotCacheId="496254905">
      <levels count="2">
        <level uniqueName="[lesReferences].[Référence].[(All)]" sourceCaption="(All)" count="0"/>
        <level uniqueName="[lesReferences].[Référence].[Référence]" sourceCaption="Référence" count="11">
          <ranges>
            <range startItem="0">
              <i n="[lesReferences].[Référence].&amp;[B1]" c="B1"/>
              <i n="[lesReferences].[Référence].&amp;[B2]" c="B2"/>
              <i n="[lesReferences].[Référence].&amp;[B3]" c="B3"/>
              <i n="[lesReferences].[Référence].&amp;[C1]" c="C1"/>
              <i n="[lesReferences].[Référence].&amp;[C2]" c="C2"/>
              <i n="[lesReferences].[Référence].&amp;[E1]" c="E1"/>
              <i n="[lesReferences].[Référence].&amp;[E2]" c="E2"/>
              <i n="[lesReferences].[Référence].&amp;[E3]" c="E3"/>
              <i n="[lesReferences].[Référence].&amp;[E4]" c="E4"/>
              <i n="[lesReferences].[Référence].&amp;[S1]" c="S1"/>
              <i n="[lesReferences].[Référence].&amp;[S2]" c="S2"/>
            </range>
          </ranges>
        </level>
      </levels>
      <selections count="1">
        <selection n="[lesReferences].[Référenc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A80AB1B3-50B9-4960-9775-FE6656F09B50}" sourceName="[lesMois].[Mois]">
  <pivotTables>
    <pivotTable tabId="14" name="TC2"/>
    <pivotTable tabId="14" name="TC3"/>
    <pivotTable tabId="14" name="Top3"/>
    <pivotTable tabId="14" name="EntreeTotalCategories"/>
    <pivotTable tabId="14" name="EntreeValeurCategories"/>
    <pivotTable tabId="14" name="SortieTotalCategories"/>
    <pivotTable tabId="14" name="SortieValeurCategories"/>
  </pivotTables>
  <data>
    <olap pivotCacheId="496254905">
      <levels count="2">
        <level uniqueName="[lesMois].[Mois].[(All)]" sourceCaption="(All)" count="0"/>
        <level uniqueName="[lesMois].[Mois].[Mois]" sourceCaption="Mois" count="5" sortOrder="ascending">
          <ranges>
            <range startItem="0">
              <i n="[lesMois].[Mois].&amp;[avr]" c="avr"/>
              <i n="[lesMois].[Mois].&amp;[févr]" c="févr"/>
              <i n="[lesMois].[Mois].&amp;[janv]" c="janv"/>
              <i n="[lesMois].[Mois].&amp;[mai]" c="mai"/>
              <i n="[lesMois].[Mois].&amp;[mars]" c="mars"/>
            </range>
          </ranges>
        </level>
      </levels>
      <selections count="1">
        <selection n="[lesMois].[Moi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s" xr10:uid="{957D75E0-AD99-4979-A270-678218913C8C}" sourceName="[lesCategories].[Catégorie]">
  <pivotTables>
    <pivotTable tabId="14" name="TC3"/>
    <pivotTable tabId="14" name="TC2"/>
    <pivotTable tabId="14" name="StockEntréeMois"/>
    <pivotTable tabId="14" name="StockSortieMois"/>
    <pivotTable tabId="14" name="ValeurEntréeMois"/>
    <pivotTable tabId="14" name="ValeurSortieMois"/>
  </pivotTables>
  <data>
    <olap pivotCacheId="664998595">
      <levels count="2">
        <level uniqueName="[lesCategories].[Catégorie].[(All)]" sourceCaption="(All)" count="0"/>
        <level uniqueName="[lesCategories].[Catégorie].[Catégorie]" sourceCaption="Catégorie" count="4">
          <ranges>
            <range startItem="0">
              <i n="[lesCategories].[Catégorie].&amp;[Biscuits]" c="Biscuits"/>
              <i n="[lesCategories].[Catégorie].&amp;[Consoles]" c="Consoles"/>
              <i n="[lesCategories].[Catégorie].&amp;[Electro]" c="Electro"/>
              <i n="[lesCategories].[Catégorie].&amp;[SmartPhone]" c="SmartPhone"/>
            </range>
          </ranges>
        </level>
      </levels>
      <selections count="1">
        <selection n="[lesCategories].[Catégori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éférence" xr10:uid="{46C80450-8DE6-4C1A-9154-AD60B1E89CE6}" cache="Segment_Référence" caption="Référence" columnCount="3" level="1" rowHeight="234950"/>
  <slicer name="Mois" xr10:uid="{C89F55AF-30B8-4117-AF38-24B3BCF83E8E}" cache="Segment_Mois" caption="Mois" columnCount="2" level="1" style="Style2" rowHeight="234950"/>
  <slicer name="Catégories" xr10:uid="{2C4A4EC3-7EC7-4BCB-A856-012D39D634A1}" cache="Segment_Catégories" caption="Catégories" level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7ADDF-8724-4FBD-A21F-3CA7E69BDD54}" name="listeProduits" displayName="listeProduits" ref="C14:J25" totalsRowShown="0" headerRowDxfId="82" dataDxfId="81">
  <autoFilter ref="C14:J25" xr:uid="{7DBD995E-9056-48FE-A692-A1C33325CB75}"/>
  <tableColumns count="8">
    <tableColumn id="1" xr3:uid="{0229BEFB-2762-4DD6-BE9F-BB731D9D2550}" name="Référence" dataDxfId="80"/>
    <tableColumn id="2" xr3:uid="{69181FD6-241F-48AC-8770-FD360A3A5D09}" name="Désignation" dataDxfId="79"/>
    <tableColumn id="3" xr3:uid="{653A60CB-48A1-4B6B-8CEE-A19375500291}" name="Catégorie" dataDxfId="78"/>
    <tableColumn id="4" xr3:uid="{57170E49-5279-4228-9CCA-87DFA972F364}" name="Unité" dataDxfId="77"/>
    <tableColumn id="8" xr3:uid="{56D46FC4-26DA-485D-BF6A-955386E6D988}" name="Seuil d'alerte" dataDxfId="76"/>
    <tableColumn id="7" xr3:uid="{98C0B310-9549-478B-9F9D-EE31A9EAA7C3}" name="Stock initial" dataDxfId="75"/>
    <tableColumn id="6" xr3:uid="{67E0BD55-1F7C-4945-860F-0026DA4965D6}" name="Prix unitaire" dataDxfId="74"/>
    <tableColumn id="5" xr3:uid="{8794DDBC-18EB-4B0A-B625-070918D096DB}" name="Total" dataDxfId="73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C46-8DEB-4521-8D5A-D81198D89F82}" name="listeAchats" displayName="listeAchats" ref="C6:K63" totalsRowShown="0" headerRowDxfId="72" dataDxfId="71">
  <autoFilter ref="C6:K63" xr:uid="{FBC92809-A0A3-41BD-BD6B-A1A48E41444F}"/>
  <tableColumns count="9">
    <tableColumn id="1" xr3:uid="{6036FD50-7731-4593-8EAC-FADBAEF83BAB}" name="Numéro" dataDxfId="70"/>
    <tableColumn id="10" xr3:uid="{BC77A533-7FE4-4F09-9092-C2700BC2AB71}" name="Date" dataDxfId="69"/>
    <tableColumn id="9" xr3:uid="{FA449DF7-B3D0-4548-A945-06B4965F1B20}" name="Référence" dataDxfId="68"/>
    <tableColumn id="8" xr3:uid="{77AECE20-D510-423B-9DCF-36C61FAC7276}" name="Désignation" dataDxfId="67"/>
    <tableColumn id="7" xr3:uid="{6855B33D-4745-4741-9779-09D7B20EEC1A}" name="Catégorie" dataDxfId="66"/>
    <tableColumn id="6" xr3:uid="{AA238DD9-AF59-4091-9793-9DF7C13A007B}" name="Unité" dataDxfId="65"/>
    <tableColumn id="5" xr3:uid="{F95BCB2C-A98F-4257-8D0B-F4750BE5D00E}" name="Coût d'achat" dataDxfId="64"/>
    <tableColumn id="2" xr3:uid="{E7797A9D-C487-4F25-A92A-49779B14AD1C}" name="Quantité" dataDxfId="63"/>
    <tableColumn id="3" xr3:uid="{9481A671-1A37-48FD-9423-3882301CDABC}" name="Total" dataDxfId="6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7AFBA-9F9F-4CDC-BE43-538AF748D910}" name="listeVentes" displayName="listeVentes" ref="C6:K66" totalsRowShown="0" headerRowDxfId="61" dataDxfId="60">
  <autoFilter ref="C6:K66" xr:uid="{22FDADE4-02FF-46E6-AF6F-3871B013E254}"/>
  <tableColumns count="9">
    <tableColumn id="1" xr3:uid="{E27792E8-AD65-44DE-8928-F2F127115287}" name="Numéro" dataDxfId="59"/>
    <tableColumn id="10" xr3:uid="{504282B1-4D3E-4C1A-8AFC-FF1D140BEC81}" name="Date" dataDxfId="58"/>
    <tableColumn id="9" xr3:uid="{27CE6545-277D-4C40-B1C0-FFE9AF03D9A8}" name="Référence" dataDxfId="57"/>
    <tableColumn id="8" xr3:uid="{928709BF-CA60-40E2-A381-29FB9C39540F}" name="Désignation" dataDxfId="56"/>
    <tableColumn id="7" xr3:uid="{CCD6BBBF-AAC8-49F6-942E-F736F510C7D5}" name="Catégorie" dataDxfId="55"/>
    <tableColumn id="6" xr3:uid="{F1857E15-A99F-4799-83EE-E2F326BE1821}" name="Unité" dataDxfId="54"/>
    <tableColumn id="5" xr3:uid="{4234A30E-AFCB-4635-A3CC-009F32C5B30B}" name="Prix de vente" dataDxfId="53"/>
    <tableColumn id="2" xr3:uid="{29E2188B-82CC-4864-AAEB-AAD3346C18B8}" name="Quantité" dataDxfId="52"/>
    <tableColumn id="3" xr3:uid="{71262398-BBBF-4CDF-A096-8F3BD034ADF1}" name="Total" dataDxfId="5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327331-FCE2-47EC-AC7A-264D45049CD5}" name="listeInventaire" displayName="listeInventaire" ref="C5:N16" totalsRowShown="0" headerRowDxfId="50" dataDxfId="48" headerRowBorderDxfId="49" tableBorderDxfId="47" totalsRowBorderDxfId="46">
  <autoFilter ref="C5:N16" xr:uid="{9461CF19-655C-4501-BCB1-5A2CB4358DAD}"/>
  <tableColumns count="12">
    <tableColumn id="1" xr3:uid="{CE917253-C0E9-4992-B8E4-4F53EBB1ED59}" name="Référence" dataDxfId="45"/>
    <tableColumn id="10" xr3:uid="{9D6FDADB-9941-4A3B-A0F4-718BC2EDC925}" name="Désignation" dataDxfId="44">
      <calculatedColumnFormula>IFERROR(VLOOKUP(listeInventaire[[#This Row],[Référence]],listeProduits[],2,FALSE),"")</calculatedColumnFormula>
    </tableColumn>
    <tableColumn id="9" xr3:uid="{3376FBB9-D02F-455F-86C4-3310A3C29B92}" name="Catégorie" dataDxfId="43">
      <calculatedColumnFormula>IFERROR(VLOOKUP(listeInventaire[[#This Row],[Référence]],listeProduits[],3,FALSE),"")</calculatedColumnFormula>
    </tableColumn>
    <tableColumn id="8" xr3:uid="{9006CB1C-F6E0-426E-B742-25F3F970B0C6}" name="Unité" dataDxfId="42">
      <calculatedColumnFormula>IFERROR(VLOOKUP(listeInventaire[[#This Row],[Référence]],listeProduits[],4,FALSE),"")</calculatedColumnFormula>
    </tableColumn>
    <tableColumn id="14" xr3:uid="{DD7C1828-E2CA-42B9-B2CD-5549891AFF53}" name="Seuil d'alerte" dataDxfId="41">
      <calculatedColumnFormula>IFERROR(VLOOKUP(listeInventaire[[#This Row],[Référence]],listeProduits[],5,FALSE),"")</calculatedColumnFormula>
    </tableColumn>
    <tableColumn id="7" xr3:uid="{9FE58FD7-B33E-40D5-81AE-9971B77BF32A}" name="Stock initial" dataDxfId="40">
      <calculatedColumnFormula>IFERROR(VLOOKUP(listeInventaire[[#This Row],[Référence]],listeProduits[],6,FALSE),"")</calculatedColumnFormula>
    </tableColumn>
    <tableColumn id="6" xr3:uid="{7C4F6B98-BCBF-4D26-9642-E5447B396DDE}" name="Entrées" dataDxfId="39">
      <calculatedColumnFormula>SUMIF(listeAchats[Référence],listeInventaire[[#This Row],[Référence]],listeAchats[Quantité])</calculatedColumnFormula>
    </tableColumn>
    <tableColumn id="5" xr3:uid="{83CEEEA7-DB99-46BB-853A-34782B692876}" name="Sorties" dataDxfId="38">
      <calculatedColumnFormula>SUMIF(listeVentes[Référence],listeInventaire[[#This Row],[Référence]],listeVentes[Quantité])</calculatedColumnFormula>
    </tableColumn>
    <tableColumn id="11" xr3:uid="{5C858EA5-5FE3-48B7-9F7A-2459D826E103}" name="Stock final" dataDxfId="37">
      <calculatedColumnFormula>IFERROR(listeInventaire[[#This Row],[Stock initial]]+listeInventaire[[#This Row],[Entrées]]-listeInventaire[[#This Row],[Sorties]],"")</calculatedColumnFormula>
    </tableColumn>
    <tableColumn id="2" xr3:uid="{1AB82886-951E-490A-9714-0FED7CFCE89D}" name="CUMP" dataDxfId="36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xr3:uid="{B0301882-199A-4893-A4CD-746DD8B61B43}" name="Valeur" dataDxfId="35">
      <calculatedColumnFormula>IFERROR(listeInventaire[[#This Row],[Stock final]]*listeInventaire[[#This Row],[CUMP]],"")</calculatedColumnFormula>
    </tableColumn>
    <tableColumn id="3" xr3:uid="{D0316544-D8F0-4DB7-90A1-1C10BB3C8D00}" name="Statue" dataDxfId="34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B4AC0F-F319-458C-BD44-3261A1457D9D}" name="LesCategories" displayName="LesCategories" ref="E2:E6" totalsRowShown="0">
  <autoFilter ref="E2:E6" xr:uid="{3AB4AC0F-F319-458C-BD44-3261A1457D9D}"/>
  <tableColumns count="1">
    <tableColumn id="1" xr3:uid="{83C1E14D-39B7-497B-854D-20E13446FDF4}" name="Catégori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D3E5F4-C74D-4EF8-ADFB-AB458FBDBC4B}" name="LesReferences" displayName="LesReferences" ref="G2:G13" totalsRowShown="0">
  <autoFilter ref="G2:G13" xr:uid="{B5D3E5F4-C74D-4EF8-ADFB-AB458FBDBC4B}"/>
  <tableColumns count="1">
    <tableColumn id="1" xr3:uid="{5C5D59F6-B027-4C54-9E36-CAE61F830136}" name="Référe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A9349D-01F7-48F0-9BB2-117FBA873D1B}" name="LesMois" displayName="LesMois" ref="I2:I7" totalsRowShown="0">
  <autoFilter ref="I2:I7" xr:uid="{70A9349D-01F7-48F0-9BB2-117FBA873D1B}"/>
  <tableColumns count="1">
    <tableColumn id="1" xr3:uid="{AF231045-6CDB-4B10-8D98-8BE6071B6154}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5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table" Target="../tables/table7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6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B64A-8CF4-480C-B3D1-C13B40992E90}">
  <sheetPr codeName="Feuil1"/>
  <dimension ref="B1:R210"/>
  <sheetViews>
    <sheetView showGridLines="0" tabSelected="1" zoomScale="102" zoomScaleNormal="102" workbookViewId="0">
      <selection activeCell="A6" sqref="A6"/>
    </sheetView>
  </sheetViews>
  <sheetFormatPr baseColWidth="10" defaultRowHeight="14.4"/>
  <sheetData>
    <row r="1" spans="2:18" ht="21.6" customHeight="1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69" t="s">
        <v>84</v>
      </c>
      <c r="P2" s="69"/>
      <c r="Q2" s="70">
        <v>46247</v>
      </c>
      <c r="R2" s="1"/>
    </row>
    <row r="3" spans="2:18"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2:18"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2:18"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2:18"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2:18"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2:18"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2:18">
      <c r="B10" t="s">
        <v>71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2:18"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2:18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2:18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2:18"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2:18"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2:18"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4:18"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4:18"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4:18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4:18"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4:18"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4:18"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4:18"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4:18"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4:18"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4:18"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4:18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4:18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4:18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4:18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4:18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4:18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4:18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4:18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4:18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4:18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4:18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4:18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4:18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4:18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4:18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4:18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4:18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4:18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4:18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4:18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4:18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4:18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4:18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4:18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4:18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4:18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4:18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4:18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4:18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4:18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4:18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4:18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4:18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4:18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4:18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4:18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4:18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4:18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4:18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4:18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4:18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4:18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4:18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4:18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4:18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4:18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4:18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4:18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4:18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4:18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4:18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4:18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4:18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4:18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4:18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4:18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4:18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4:18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4:18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4:18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4:18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4:18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4:18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4:18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4:18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4:18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4:18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4:18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4:18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4:18"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4:18"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4:18"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4:18"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4:18"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4:18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4:18"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4:18"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4:18"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4:18"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4:18"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4:18"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4:18"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4:18"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4:18"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4:18"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4:18"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4:18"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4:18"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4:18"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4:18"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4:18"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4:18"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4:18"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4:18"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4:18"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4:18"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4:18"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4:18"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4:18"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4:18"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4:18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4:18"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4:18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4:18"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4:18"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4:18"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4:18"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4:18"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4:18"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4:18"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4:18"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4:18"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4:18"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4:18"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4:18"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4:18"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4:18"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4:18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4:18"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4:18"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4:18"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4:18"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4:18"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4:18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4:18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4:18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4:18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4:18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4:18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4:18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4:18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4:18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4:18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4:18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4:18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4:18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4:18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4:18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4:18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4:18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4:18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4:18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4:18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4:18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4:18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4:18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4:18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4:18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4:18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4:18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4:18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4:18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4:18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4:18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4:18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4:18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4:18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4:18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4:18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4:18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4:18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4:18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4:18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4:18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4:18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4:18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4:18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4:18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4:18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4:18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4:18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4:18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4:18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4:18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4:18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4:18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4:18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4:18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4:18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4:18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4:18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4:18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4:18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4:18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</sheetData>
  <mergeCells count="1">
    <mergeCell ref="O2:P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FA8B-24D8-47B8-8751-B19C5B27AA59}">
  <sheetPr codeName="Feuil5"/>
  <dimension ref="A1:P19"/>
  <sheetViews>
    <sheetView showGridLines="0" topLeftCell="B1" zoomScale="130" zoomScaleNormal="130" workbookViewId="0">
      <selection activeCell="G7" sqref="G7"/>
    </sheetView>
  </sheetViews>
  <sheetFormatPr baseColWidth="10" defaultColWidth="8.88671875" defaultRowHeight="14.4"/>
  <cols>
    <col min="1" max="5" width="8.88671875" style="1"/>
    <col min="6" max="6" width="7.77734375" style="1" customWidth="1"/>
    <col min="7" max="7" width="29.6640625" style="1" customWidth="1"/>
    <col min="8" max="8" width="8.88671875" style="1" customWidth="1"/>
    <col min="9" max="9" width="25" style="1" customWidth="1"/>
    <col min="10" max="10" width="7.77734375" style="1" customWidth="1"/>
    <col min="11" max="16384" width="8.88671875" style="1"/>
  </cols>
  <sheetData>
    <row r="1" spans="1:16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>
      <c r="A3" s="5"/>
      <c r="B3" s="5"/>
      <c r="C3" s="5"/>
      <c r="D3" s="5"/>
      <c r="E3" s="5"/>
      <c r="F3" s="2"/>
      <c r="G3" s="30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399999999999999" customHeight="1">
      <c r="F4" s="2"/>
      <c r="G4" s="57" t="s">
        <v>28</v>
      </c>
      <c r="H4" s="57"/>
      <c r="I4" s="57"/>
      <c r="J4" s="2"/>
    </row>
    <row r="5" spans="1:16" ht="10.199999999999999" customHeight="1">
      <c r="F5" s="2"/>
      <c r="G5" s="2"/>
      <c r="H5" s="3"/>
      <c r="I5" s="3"/>
      <c r="J5" s="2"/>
    </row>
    <row r="6" spans="1:16" ht="16.05" customHeight="1">
      <c r="F6" s="2"/>
      <c r="G6" s="34" t="s">
        <v>31</v>
      </c>
      <c r="H6" s="2"/>
      <c r="I6" s="34" t="s">
        <v>2</v>
      </c>
      <c r="J6" s="2"/>
    </row>
    <row r="7" spans="1:16" ht="22.05" customHeight="1">
      <c r="F7" s="2"/>
      <c r="G7" s="29"/>
      <c r="H7" s="2"/>
      <c r="I7" s="33"/>
      <c r="J7" s="2"/>
    </row>
    <row r="8" spans="1:16" ht="16.05" customHeight="1">
      <c r="F8" s="2"/>
      <c r="G8" s="2"/>
      <c r="H8" s="2"/>
      <c r="I8" s="2"/>
      <c r="J8" s="2"/>
    </row>
    <row r="9" spans="1:16" ht="16.05" customHeight="1">
      <c r="F9" s="2"/>
      <c r="G9" s="34" t="s">
        <v>30</v>
      </c>
      <c r="H9" s="2"/>
      <c r="I9" s="34" t="s">
        <v>9</v>
      </c>
      <c r="J9" s="2"/>
    </row>
    <row r="10" spans="1:16" ht="22.05" customHeight="1">
      <c r="F10" s="2"/>
      <c r="G10" s="29" t="str">
        <f>IFERROR(VLOOKUP(G7,listeProduits[],2,FALSE),"")</f>
        <v/>
      </c>
      <c r="H10" s="2"/>
      <c r="I10" s="32">
        <v>0</v>
      </c>
      <c r="J10" s="2"/>
    </row>
    <row r="11" spans="1:16" ht="16.05" customHeight="1">
      <c r="F11" s="2"/>
      <c r="G11" s="2"/>
      <c r="H11" s="2"/>
      <c r="I11" s="2"/>
      <c r="J11" s="2"/>
    </row>
    <row r="12" spans="1:16" ht="16.05" customHeight="1">
      <c r="F12" s="2"/>
      <c r="G12" s="34" t="s">
        <v>29</v>
      </c>
      <c r="H12" s="2"/>
      <c r="I12" s="34" t="s">
        <v>33</v>
      </c>
      <c r="J12" s="2"/>
    </row>
    <row r="13" spans="1:16" ht="22.05" customHeight="1">
      <c r="F13" s="2"/>
      <c r="G13" s="29" t="str">
        <f>IFERROR(VLOOKUP(G7,listeProduits[],3,FALSE),"")</f>
        <v/>
      </c>
      <c r="H13" s="2"/>
      <c r="I13" s="31"/>
      <c r="J13" s="2"/>
    </row>
    <row r="14" spans="1:16" ht="16.05" customHeight="1">
      <c r="F14" s="2"/>
      <c r="G14" s="2"/>
      <c r="H14" s="2"/>
      <c r="I14" s="2"/>
      <c r="J14" s="2"/>
    </row>
    <row r="15" spans="1:16" ht="16.05" customHeight="1">
      <c r="F15" s="2"/>
      <c r="G15" s="34" t="s">
        <v>8</v>
      </c>
      <c r="H15" s="2"/>
      <c r="I15" s="34" t="s">
        <v>6</v>
      </c>
      <c r="J15" s="2"/>
    </row>
    <row r="16" spans="1:16" ht="22.05" customHeight="1">
      <c r="F16" s="2"/>
      <c r="G16" s="29" t="str">
        <f>IFERROR(VLOOKUP(G7,listeProduits[],4,FALSE),"")</f>
        <v/>
      </c>
      <c r="H16" s="2"/>
      <c r="I16" s="35">
        <f>I10*I13</f>
        <v>0</v>
      </c>
      <c r="J16" s="2"/>
    </row>
    <row r="17" spans="6:10" ht="16.05" customHeight="1">
      <c r="F17" s="2"/>
      <c r="G17" s="7"/>
      <c r="H17" s="2"/>
      <c r="I17" s="2"/>
      <c r="J17" s="2"/>
    </row>
    <row r="18" spans="6:10" ht="22.2" customHeight="1">
      <c r="F18" s="2"/>
      <c r="G18" s="2"/>
      <c r="H18" s="2"/>
      <c r="I18" s="2"/>
      <c r="J18" s="2"/>
    </row>
    <row r="19" spans="6:10" ht="17.399999999999999" customHeight="1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 xr:uid="{43724A14-38E0-4E71-97D0-093663A523AB}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DFC9-46C5-4D9C-81D5-B08E2915CCD3}">
  <sheetPr codeName="Feuil8"/>
  <dimension ref="A1:N31"/>
  <sheetViews>
    <sheetView showGridLines="0" topLeftCell="A6" zoomScale="115" zoomScaleNormal="115" workbookViewId="0">
      <selection activeCell="G11" sqref="G11"/>
    </sheetView>
  </sheetViews>
  <sheetFormatPr baseColWidth="10" defaultColWidth="8.88671875" defaultRowHeight="14.4"/>
  <cols>
    <col min="1" max="1" width="11.77734375" style="1" customWidth="1"/>
    <col min="2" max="2" width="7.77734375" style="1" customWidth="1"/>
    <col min="3" max="3" width="15.109375" style="1" customWidth="1"/>
    <col min="4" max="4" width="31.21875" style="1" customWidth="1"/>
    <col min="5" max="5" width="20" style="1" customWidth="1"/>
    <col min="6" max="6" width="20.5546875" style="1" customWidth="1"/>
    <col min="7" max="7" width="14.109375" style="1" customWidth="1"/>
    <col min="8" max="8" width="13.21875" style="1" customWidth="1"/>
    <col min="9" max="9" width="13" style="1" customWidth="1"/>
    <col min="10" max="10" width="14" style="1" customWidth="1"/>
    <col min="11" max="11" width="7.77734375" style="1" customWidth="1"/>
    <col min="12" max="17" width="11.77734375" style="1" customWidth="1"/>
    <col min="18" max="19" width="9.77734375" style="1" customWidth="1"/>
    <col min="20" max="16384" width="8.88671875" style="1"/>
  </cols>
  <sheetData>
    <row r="1" spans="1:14" ht="22.2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8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" customHeight="1">
      <c r="A3" s="5"/>
      <c r="B3" s="9"/>
      <c r="C3" s="58" t="s">
        <v>42</v>
      </c>
      <c r="D3" s="58"/>
      <c r="E3" s="58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>
      <c r="B4" s="9"/>
      <c r="C4" s="57" t="s">
        <v>48</v>
      </c>
      <c r="D4" s="57"/>
      <c r="E4" s="12"/>
      <c r="F4" s="12"/>
      <c r="G4" s="12"/>
      <c r="H4" s="12"/>
      <c r="I4" s="12"/>
      <c r="J4" s="12"/>
      <c r="K4" s="2"/>
      <c r="L4" s="5"/>
      <c r="M4" s="5"/>
      <c r="N4" s="5"/>
    </row>
    <row r="5" spans="1:14" ht="15" thickBot="1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>
      <c r="B6" s="2"/>
      <c r="C6" s="26" t="s">
        <v>14</v>
      </c>
      <c r="D6" s="44"/>
      <c r="E6" s="28" t="s">
        <v>25</v>
      </c>
      <c r="F6" s="44">
        <v>0</v>
      </c>
      <c r="G6" s="2"/>
      <c r="H6" s="2"/>
      <c r="I6" s="2"/>
      <c r="J6" s="2"/>
      <c r="K6" s="2"/>
    </row>
    <row r="7" spans="1:14" ht="18" customHeight="1" thickTop="1" thickBot="1">
      <c r="B7" s="2"/>
      <c r="C7" s="27" t="s">
        <v>0</v>
      </c>
      <c r="D7" s="44"/>
      <c r="E7" s="26" t="s">
        <v>26</v>
      </c>
      <c r="F7" s="44">
        <v>0</v>
      </c>
      <c r="G7" s="2"/>
      <c r="H7" s="2"/>
      <c r="I7" s="2"/>
      <c r="J7" s="2"/>
      <c r="K7" s="2"/>
    </row>
    <row r="8" spans="1:14" ht="18" customHeight="1" thickTop="1" thickBot="1">
      <c r="B8" s="2"/>
      <c r="C8" s="27" t="s">
        <v>15</v>
      </c>
      <c r="D8" s="44"/>
      <c r="E8" s="26" t="s">
        <v>27</v>
      </c>
      <c r="F8" s="46">
        <v>0</v>
      </c>
      <c r="G8" s="2"/>
      <c r="H8" s="2"/>
      <c r="I8" s="2"/>
      <c r="J8" s="2"/>
      <c r="K8" s="2"/>
    </row>
    <row r="9" spans="1:14" ht="18" customHeight="1" thickTop="1" thickBot="1">
      <c r="B9" s="2"/>
      <c r="C9" s="27" t="s">
        <v>24</v>
      </c>
      <c r="D9" s="44"/>
      <c r="E9" s="26" t="s">
        <v>23</v>
      </c>
      <c r="F9" s="45">
        <f>F7*F8</f>
        <v>0</v>
      </c>
      <c r="G9" s="2"/>
      <c r="H9" s="2"/>
      <c r="I9" s="2"/>
      <c r="J9" s="2"/>
      <c r="K9" s="2"/>
    </row>
    <row r="10" spans="1:14" ht="18" customHeight="1" thickTop="1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8" customHeight="1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>
      <c r="B12" s="2"/>
      <c r="C12" s="58" t="s">
        <v>43</v>
      </c>
      <c r="D12" s="58"/>
      <c r="E12" s="58"/>
      <c r="F12" s="2"/>
      <c r="G12" s="2"/>
      <c r="H12" s="2"/>
      <c r="I12" s="2"/>
      <c r="J12" s="2"/>
      <c r="K12" s="2"/>
    </row>
    <row r="13" spans="1:14" ht="6" customHeight="1">
      <c r="B13" s="2"/>
      <c r="C13" s="10"/>
      <c r="D13" s="10"/>
      <c r="E13" s="10"/>
      <c r="F13" s="2"/>
      <c r="G13" s="2"/>
      <c r="H13" s="2"/>
      <c r="I13" s="2"/>
      <c r="J13" s="2"/>
      <c r="K13" s="2"/>
    </row>
    <row r="14" spans="1:14" ht="18" customHeight="1">
      <c r="A14" s="6"/>
      <c r="B14" s="9"/>
      <c r="C14" s="11" t="s">
        <v>14</v>
      </c>
      <c r="D14" s="11" t="s">
        <v>0</v>
      </c>
      <c r="E14" s="11" t="s">
        <v>15</v>
      </c>
      <c r="F14" s="11" t="s">
        <v>8</v>
      </c>
      <c r="G14" s="11" t="s">
        <v>3</v>
      </c>
      <c r="H14" s="11" t="s">
        <v>10</v>
      </c>
      <c r="I14" s="11" t="s">
        <v>9</v>
      </c>
      <c r="J14" s="11" t="s">
        <v>6</v>
      </c>
      <c r="K14" s="9"/>
    </row>
    <row r="15" spans="1:14" ht="18" customHeight="1">
      <c r="A15" s="6"/>
      <c r="B15" s="9"/>
      <c r="C15" s="49" t="s">
        <v>53</v>
      </c>
      <c r="D15" s="49" t="s">
        <v>66</v>
      </c>
      <c r="E15" s="49" t="s">
        <v>58</v>
      </c>
      <c r="F15" s="47" t="s">
        <v>32</v>
      </c>
      <c r="G15" s="51">
        <v>10</v>
      </c>
      <c r="H15" s="51">
        <v>3</v>
      </c>
      <c r="I15" s="50">
        <v>1400</v>
      </c>
      <c r="J15" s="50">
        <f>listeProduits[[#This Row],[Stock initial]]*listeProduits[[#This Row],[Prix unitaire]]</f>
        <v>4200</v>
      </c>
      <c r="K15" s="9"/>
    </row>
    <row r="16" spans="1:14" ht="18" customHeight="1">
      <c r="A16" s="6"/>
      <c r="B16" s="9"/>
      <c r="C16" s="49" t="s">
        <v>36</v>
      </c>
      <c r="D16" s="49" t="s">
        <v>50</v>
      </c>
      <c r="E16" s="49" t="s">
        <v>59</v>
      </c>
      <c r="F16" s="47" t="s">
        <v>32</v>
      </c>
      <c r="G16" s="51">
        <v>10</v>
      </c>
      <c r="H16" s="51">
        <v>6</v>
      </c>
      <c r="I16" s="50">
        <v>400</v>
      </c>
      <c r="J16" s="50">
        <f>listeProduits[[#This Row],[Stock initial]]*listeProduits[[#This Row],[Prix unitaire]]</f>
        <v>2400</v>
      </c>
      <c r="K16" s="9"/>
    </row>
    <row r="17" spans="1:11" ht="18" customHeight="1">
      <c r="A17" s="6"/>
      <c r="B17" s="9"/>
      <c r="C17" s="49" t="s">
        <v>35</v>
      </c>
      <c r="D17" s="49" t="s">
        <v>49</v>
      </c>
      <c r="E17" s="49" t="s">
        <v>59</v>
      </c>
      <c r="F17" s="47" t="s">
        <v>32</v>
      </c>
      <c r="G17" s="51">
        <v>10</v>
      </c>
      <c r="H17" s="51">
        <v>3</v>
      </c>
      <c r="I17" s="50">
        <v>750</v>
      </c>
      <c r="J17" s="50">
        <f>listeProduits[[#This Row],[Stock initial]]*listeProduits[[#This Row],[Prix unitaire]]</f>
        <v>2250</v>
      </c>
      <c r="K17" s="9"/>
    </row>
    <row r="18" spans="1:11" ht="18" customHeight="1">
      <c r="A18" s="6"/>
      <c r="B18" s="9"/>
      <c r="C18" s="49" t="s">
        <v>41</v>
      </c>
      <c r="D18" s="49" t="s">
        <v>61</v>
      </c>
      <c r="E18" s="49" t="s">
        <v>60</v>
      </c>
      <c r="F18" s="47" t="s">
        <v>32</v>
      </c>
      <c r="G18" s="51">
        <v>10</v>
      </c>
      <c r="H18" s="51">
        <v>0</v>
      </c>
      <c r="I18" s="50">
        <v>0</v>
      </c>
      <c r="J18" s="50">
        <f>listeProduits[[#This Row],[Stock initial]]*listeProduits[[#This Row],[Prix unitaire]]</f>
        <v>0</v>
      </c>
      <c r="K18" s="9"/>
    </row>
    <row r="19" spans="1:11" ht="18" customHeight="1">
      <c r="A19" s="6"/>
      <c r="B19" s="9"/>
      <c r="C19" s="49" t="s">
        <v>40</v>
      </c>
      <c r="D19" s="49" t="s">
        <v>62</v>
      </c>
      <c r="E19" s="49" t="s">
        <v>60</v>
      </c>
      <c r="F19" s="47" t="s">
        <v>32</v>
      </c>
      <c r="G19" s="51">
        <v>10</v>
      </c>
      <c r="H19" s="51">
        <v>6</v>
      </c>
      <c r="I19" s="50">
        <v>150</v>
      </c>
      <c r="J19" s="50">
        <f>listeProduits[[#This Row],[Stock initial]]*listeProduits[[#This Row],[Prix unitaire]]</f>
        <v>900</v>
      </c>
      <c r="K19" s="9"/>
    </row>
    <row r="20" spans="1:11" ht="18" customHeight="1">
      <c r="A20" s="6"/>
      <c r="B20" s="9"/>
      <c r="C20" s="49" t="s">
        <v>39</v>
      </c>
      <c r="D20" s="49" t="s">
        <v>63</v>
      </c>
      <c r="E20" s="49" t="s">
        <v>60</v>
      </c>
      <c r="F20" s="47" t="s">
        <v>32</v>
      </c>
      <c r="G20" s="51">
        <v>10</v>
      </c>
      <c r="H20" s="51">
        <v>3</v>
      </c>
      <c r="I20" s="50">
        <v>300</v>
      </c>
      <c r="J20" s="50">
        <f>listeProduits[[#This Row],[Stock initial]]*listeProduits[[#This Row],[Prix unitaire]]</f>
        <v>900</v>
      </c>
      <c r="K20" s="9"/>
    </row>
    <row r="21" spans="1:11" ht="18" customHeight="1">
      <c r="A21" s="6"/>
      <c r="B21" s="9"/>
      <c r="C21" s="49" t="s">
        <v>38</v>
      </c>
      <c r="D21" s="49" t="s">
        <v>64</v>
      </c>
      <c r="E21" s="49" t="s">
        <v>60</v>
      </c>
      <c r="F21" s="47" t="s">
        <v>32</v>
      </c>
      <c r="G21" s="51">
        <v>10</v>
      </c>
      <c r="H21" s="51">
        <v>5</v>
      </c>
      <c r="I21" s="50">
        <v>700</v>
      </c>
      <c r="J21" s="50">
        <f>listeProduits[[#This Row],[Stock initial]]*listeProduits[[#This Row],[Prix unitaire]]</f>
        <v>3500</v>
      </c>
      <c r="K21" s="9"/>
    </row>
    <row r="22" spans="1:11" ht="18" customHeight="1">
      <c r="A22" s="6"/>
      <c r="B22" s="9"/>
      <c r="C22" s="47" t="s">
        <v>52</v>
      </c>
      <c r="D22" s="47" t="s">
        <v>51</v>
      </c>
      <c r="E22" s="47" t="s">
        <v>58</v>
      </c>
      <c r="F22" s="47" t="s">
        <v>32</v>
      </c>
      <c r="G22" s="51">
        <v>10</v>
      </c>
      <c r="H22" s="51">
        <v>20</v>
      </c>
      <c r="I22" s="48">
        <v>600</v>
      </c>
      <c r="J22" s="48">
        <f>listeProduits[[#This Row],[Stock initial]]*listeProduits[[#This Row],[Prix unitaire]]</f>
        <v>12000</v>
      </c>
      <c r="K22" s="9"/>
    </row>
    <row r="23" spans="1:11" ht="18" customHeight="1">
      <c r="A23" s="6"/>
      <c r="B23" s="9"/>
      <c r="C23" s="13" t="s">
        <v>54</v>
      </c>
      <c r="D23" s="13" t="s">
        <v>18</v>
      </c>
      <c r="E23" s="13" t="s">
        <v>19</v>
      </c>
      <c r="F23" s="13" t="s">
        <v>20</v>
      </c>
      <c r="G23" s="15">
        <v>10</v>
      </c>
      <c r="H23" s="15">
        <v>10</v>
      </c>
      <c r="I23" s="14">
        <v>0.2</v>
      </c>
      <c r="J23" s="14">
        <f>listeProduits[[#This Row],[Stock initial]]*listeProduits[[#This Row],[Prix unitaire]]</f>
        <v>2</v>
      </c>
      <c r="K23" s="9"/>
    </row>
    <row r="24" spans="1:11" ht="18" customHeight="1">
      <c r="A24" s="6"/>
      <c r="B24" s="9"/>
      <c r="C24" s="13" t="s">
        <v>55</v>
      </c>
      <c r="D24" s="13" t="s">
        <v>18</v>
      </c>
      <c r="E24" s="13" t="s">
        <v>19</v>
      </c>
      <c r="F24" s="13" t="s">
        <v>21</v>
      </c>
      <c r="G24" s="15">
        <v>50</v>
      </c>
      <c r="H24" s="15">
        <v>15</v>
      </c>
      <c r="I24" s="14">
        <v>2</v>
      </c>
      <c r="J24" s="14">
        <f>listeProduits[[#This Row],[Stock initial]]*listeProduits[[#This Row],[Prix unitaire]]</f>
        <v>30</v>
      </c>
      <c r="K24" s="9"/>
    </row>
    <row r="25" spans="1:11" ht="18" customHeight="1">
      <c r="B25" s="9"/>
      <c r="C25" s="13" t="s">
        <v>56</v>
      </c>
      <c r="D25" s="13" t="s">
        <v>18</v>
      </c>
      <c r="E25" s="13" t="s">
        <v>19</v>
      </c>
      <c r="F25" s="13" t="s">
        <v>22</v>
      </c>
      <c r="G25" s="15">
        <v>20</v>
      </c>
      <c r="H25" s="15">
        <v>5</v>
      </c>
      <c r="I25" s="14">
        <v>4</v>
      </c>
      <c r="J25" s="14">
        <f>listeProduits[[#This Row],[Stock initial]]*listeProduits[[#This Row],[Prix unitaire]]</f>
        <v>20</v>
      </c>
      <c r="K25" s="9"/>
    </row>
    <row r="26" spans="1:11" ht="18" customHeight="1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/>
    <row r="29" spans="1:11" ht="19.95" customHeight="1"/>
    <row r="31" spans="1:11">
      <c r="E31" s="5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9D3A-FCC7-40CC-866F-7A34F021AA1E}">
  <sheetPr codeName="Feuil10"/>
  <dimension ref="A1:P67"/>
  <sheetViews>
    <sheetView topLeftCell="B7" zoomScale="115" zoomScaleNormal="115" workbookViewId="0">
      <selection activeCell="F14" sqref="F14"/>
    </sheetView>
  </sheetViews>
  <sheetFormatPr baseColWidth="10" defaultColWidth="8.88671875" defaultRowHeight="14.4"/>
  <cols>
    <col min="1" max="1" width="8.109375" style="1" customWidth="1"/>
    <col min="2" max="2" width="8.77734375" style="1" customWidth="1"/>
    <col min="3" max="3" width="9.44140625" style="1" customWidth="1"/>
    <col min="4" max="4" width="12.6640625" style="1" customWidth="1"/>
    <col min="5" max="5" width="11.5546875" style="1" customWidth="1"/>
    <col min="6" max="6" width="28.21875" style="1" customWidth="1"/>
    <col min="7" max="7" width="19.88671875" style="1" customWidth="1"/>
    <col min="8" max="8" width="17.88671875" style="1" customWidth="1"/>
    <col min="9" max="9" width="14" style="1" customWidth="1"/>
    <col min="10" max="10" width="10.5546875" style="42" customWidth="1"/>
    <col min="11" max="11" width="21.33203125" style="1" customWidth="1"/>
    <col min="12" max="12" width="8.77734375" style="1" customWidth="1"/>
    <col min="13" max="24" width="12.77734375" style="1" customWidth="1"/>
    <col min="25" max="16384" width="8.88671875" style="1"/>
  </cols>
  <sheetData>
    <row r="1" spans="1:16" ht="22.2" customHeight="1">
      <c r="A1" s="4"/>
      <c r="B1" s="4"/>
      <c r="C1" s="4"/>
      <c r="D1" s="4"/>
      <c r="E1" s="4"/>
      <c r="F1" s="4"/>
      <c r="G1" s="4"/>
      <c r="H1" s="4"/>
      <c r="I1" s="4"/>
      <c r="J1" s="40"/>
      <c r="K1" s="4"/>
      <c r="L1" s="4"/>
      <c r="M1" s="4"/>
      <c r="N1" s="4"/>
      <c r="O1" s="4"/>
      <c r="P1" s="4"/>
    </row>
    <row r="2" spans="1:16" ht="13.8" customHeight="1">
      <c r="A2" s="4"/>
      <c r="B2" s="4"/>
      <c r="C2" s="4"/>
      <c r="D2" s="4"/>
      <c r="E2" s="4"/>
      <c r="F2" s="4"/>
      <c r="G2" s="4"/>
      <c r="H2" s="4"/>
      <c r="I2" s="4"/>
      <c r="J2" s="40"/>
      <c r="K2" s="4"/>
      <c r="L2" s="4"/>
      <c r="M2" s="4"/>
      <c r="N2" s="4"/>
      <c r="O2" s="4"/>
      <c r="P2" s="4"/>
    </row>
    <row r="3" spans="1:16" ht="26.4" customHeight="1">
      <c r="A3" s="5"/>
      <c r="B3" s="9"/>
      <c r="C3" s="58" t="s">
        <v>44</v>
      </c>
      <c r="D3" s="58"/>
      <c r="E3" s="58"/>
      <c r="F3" s="58"/>
      <c r="G3" s="58"/>
      <c r="H3" s="58"/>
      <c r="I3" s="58"/>
      <c r="J3" s="58"/>
      <c r="K3" s="58"/>
      <c r="L3" s="3"/>
      <c r="M3" s="5"/>
      <c r="N3" s="5"/>
      <c r="O3" s="5"/>
      <c r="P3" s="5"/>
    </row>
    <row r="4" spans="1:16" ht="16.8" customHeight="1">
      <c r="A4" s="5"/>
      <c r="B4" s="9"/>
      <c r="C4" s="57" t="s">
        <v>47</v>
      </c>
      <c r="D4" s="57"/>
      <c r="E4" s="57"/>
      <c r="F4" s="57"/>
      <c r="G4" s="57"/>
      <c r="H4" s="57"/>
      <c r="I4" s="57"/>
      <c r="J4" s="57"/>
      <c r="K4" s="12"/>
      <c r="L4" s="12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41"/>
      <c r="K5" s="2"/>
      <c r="L5" s="3"/>
    </row>
    <row r="6" spans="1:16" ht="18" customHeight="1">
      <c r="A6" s="6"/>
      <c r="B6" s="9"/>
      <c r="C6" s="11" t="s">
        <v>7</v>
      </c>
      <c r="D6" s="11" t="s">
        <v>2</v>
      </c>
      <c r="E6" s="11" t="s">
        <v>14</v>
      </c>
      <c r="F6" s="11" t="s">
        <v>0</v>
      </c>
      <c r="G6" s="11" t="s">
        <v>15</v>
      </c>
      <c r="H6" s="11" t="s">
        <v>8</v>
      </c>
      <c r="I6" s="11" t="s">
        <v>57</v>
      </c>
      <c r="J6" s="11" t="s">
        <v>1</v>
      </c>
      <c r="K6" s="11" t="s">
        <v>6</v>
      </c>
      <c r="L6" s="9"/>
    </row>
    <row r="7" spans="1:16" ht="18" customHeight="1">
      <c r="A7" s="6"/>
      <c r="B7" s="9"/>
      <c r="C7" s="51">
        <f>C8+1</f>
        <v>57</v>
      </c>
      <c r="D7" s="54">
        <v>44698</v>
      </c>
      <c r="E7" s="49" t="s">
        <v>55</v>
      </c>
      <c r="F7" s="49" t="s">
        <v>18</v>
      </c>
      <c r="G7" s="49" t="s">
        <v>19</v>
      </c>
      <c r="H7" s="49" t="s">
        <v>21</v>
      </c>
      <c r="I7" s="52">
        <v>2</v>
      </c>
      <c r="J7" s="53">
        <v>25</v>
      </c>
      <c r="K7" s="50">
        <f>listeAchats[[#This Row],[Coût d''achat]]*listeAchats[[#This Row],[Quantité]]</f>
        <v>50</v>
      </c>
      <c r="L7" s="9"/>
    </row>
    <row r="8" spans="1:16" ht="18" customHeight="1">
      <c r="A8" s="6"/>
      <c r="B8" s="9"/>
      <c r="C8" s="51">
        <f>C9+1</f>
        <v>56</v>
      </c>
      <c r="D8" s="54">
        <v>44698</v>
      </c>
      <c r="E8" s="49" t="s">
        <v>38</v>
      </c>
      <c r="F8" s="49" t="s">
        <v>64</v>
      </c>
      <c r="G8" s="49" t="s">
        <v>60</v>
      </c>
      <c r="H8" s="49" t="s">
        <v>32</v>
      </c>
      <c r="I8" s="52">
        <v>700</v>
      </c>
      <c r="J8" s="53">
        <v>5</v>
      </c>
      <c r="K8" s="50">
        <f>listeAchats[[#This Row],[Coût d''achat]]*listeAchats[[#This Row],[Quantité]]</f>
        <v>3500</v>
      </c>
      <c r="L8" s="9"/>
    </row>
    <row r="9" spans="1:16" ht="18" customHeight="1">
      <c r="A9" s="6"/>
      <c r="B9" s="9"/>
      <c r="C9" s="51">
        <f t="shared" ref="C9:C40" si="0">C10+1</f>
        <v>55</v>
      </c>
      <c r="D9" s="54">
        <v>44686</v>
      </c>
      <c r="E9" s="49" t="s">
        <v>41</v>
      </c>
      <c r="F9" s="49" t="s">
        <v>61</v>
      </c>
      <c r="G9" s="49" t="s">
        <v>60</v>
      </c>
      <c r="H9" s="49" t="s">
        <v>32</v>
      </c>
      <c r="I9" s="52">
        <v>500</v>
      </c>
      <c r="J9" s="53">
        <v>10</v>
      </c>
      <c r="K9" s="50">
        <f>listeAchats[[#This Row],[Coût d''achat]]*listeAchats[[#This Row],[Quantité]]</f>
        <v>5000</v>
      </c>
      <c r="L9" s="9"/>
    </row>
    <row r="10" spans="1:16" ht="18" customHeight="1">
      <c r="A10" s="6"/>
      <c r="B10" s="9"/>
      <c r="C10" s="51">
        <f t="shared" si="0"/>
        <v>54</v>
      </c>
      <c r="D10" s="54">
        <v>44656</v>
      </c>
      <c r="E10" s="49" t="s">
        <v>41</v>
      </c>
      <c r="F10" s="49" t="s">
        <v>61</v>
      </c>
      <c r="G10" s="49" t="s">
        <v>60</v>
      </c>
      <c r="H10" s="49" t="s">
        <v>32</v>
      </c>
      <c r="I10" s="52">
        <v>500</v>
      </c>
      <c r="J10" s="53">
        <v>10</v>
      </c>
      <c r="K10" s="50">
        <f>listeAchats[[#This Row],[Coût d''achat]]*listeAchats[[#This Row],[Quantité]]</f>
        <v>5000</v>
      </c>
      <c r="L10" s="9"/>
    </row>
    <row r="11" spans="1:16" ht="18" customHeight="1">
      <c r="A11" s="6"/>
      <c r="B11" s="9"/>
      <c r="C11" s="51">
        <f t="shared" si="0"/>
        <v>53</v>
      </c>
      <c r="D11" s="54">
        <v>44623</v>
      </c>
      <c r="E11" s="49" t="s">
        <v>41</v>
      </c>
      <c r="F11" s="49" t="s">
        <v>61</v>
      </c>
      <c r="G11" s="49" t="s">
        <v>60</v>
      </c>
      <c r="H11" s="49" t="s">
        <v>32</v>
      </c>
      <c r="I11" s="52">
        <v>500</v>
      </c>
      <c r="J11" s="53">
        <v>10</v>
      </c>
      <c r="K11" s="50">
        <f>listeAchats[[#This Row],[Coût d''achat]]*listeAchats[[#This Row],[Quantité]]</f>
        <v>5000</v>
      </c>
      <c r="L11" s="9"/>
    </row>
    <row r="12" spans="1:16" ht="18" customHeight="1">
      <c r="A12" s="6"/>
      <c r="B12" s="9"/>
      <c r="C12" s="51">
        <f t="shared" si="0"/>
        <v>52</v>
      </c>
      <c r="D12" s="54">
        <v>44595</v>
      </c>
      <c r="E12" s="49" t="s">
        <v>41</v>
      </c>
      <c r="F12" s="49" t="s">
        <v>61</v>
      </c>
      <c r="G12" s="49" t="s">
        <v>60</v>
      </c>
      <c r="H12" s="49" t="s">
        <v>32</v>
      </c>
      <c r="I12" s="52">
        <v>500</v>
      </c>
      <c r="J12" s="53">
        <v>10</v>
      </c>
      <c r="K12" s="50">
        <f>listeAchats[[#This Row],[Coût d''achat]]*listeAchats[[#This Row],[Quantité]]</f>
        <v>5000</v>
      </c>
      <c r="L12" s="9"/>
    </row>
    <row r="13" spans="1:16" ht="18" customHeight="1">
      <c r="A13" s="6"/>
      <c r="B13" s="9"/>
      <c r="C13" s="51">
        <f t="shared" si="0"/>
        <v>51</v>
      </c>
      <c r="D13" s="54">
        <v>44581</v>
      </c>
      <c r="E13" s="49" t="s">
        <v>41</v>
      </c>
      <c r="F13" s="49" t="s">
        <v>61</v>
      </c>
      <c r="G13" s="49" t="s">
        <v>60</v>
      </c>
      <c r="H13" s="49" t="s">
        <v>32</v>
      </c>
      <c r="I13" s="52">
        <v>500</v>
      </c>
      <c r="J13" s="53">
        <v>20</v>
      </c>
      <c r="K13" s="50">
        <f>listeAchats[[#This Row],[Coût d''achat]]*listeAchats[[#This Row],[Quantité]]</f>
        <v>10000</v>
      </c>
      <c r="L13" s="9"/>
    </row>
    <row r="14" spans="1:16" ht="18" customHeight="1">
      <c r="A14" s="6"/>
      <c r="B14" s="9"/>
      <c r="C14" s="51">
        <f t="shared" si="0"/>
        <v>50</v>
      </c>
      <c r="D14" s="54">
        <v>44685</v>
      </c>
      <c r="E14" s="49" t="s">
        <v>40</v>
      </c>
      <c r="F14" s="49" t="s">
        <v>62</v>
      </c>
      <c r="G14" s="49" t="s">
        <v>60</v>
      </c>
      <c r="H14" s="49" t="s">
        <v>32</v>
      </c>
      <c r="I14" s="52">
        <v>150</v>
      </c>
      <c r="J14" s="53">
        <v>5</v>
      </c>
      <c r="K14" s="50">
        <f>listeAchats[[#This Row],[Coût d''achat]]*listeAchats[[#This Row],[Quantité]]</f>
        <v>750</v>
      </c>
      <c r="L14" s="9"/>
    </row>
    <row r="15" spans="1:16" ht="18" customHeight="1">
      <c r="A15" s="6"/>
      <c r="B15" s="9"/>
      <c r="C15" s="51">
        <f t="shared" si="0"/>
        <v>49</v>
      </c>
      <c r="D15" s="54">
        <v>44655</v>
      </c>
      <c r="E15" s="49" t="s">
        <v>40</v>
      </c>
      <c r="F15" s="49" t="s">
        <v>62</v>
      </c>
      <c r="G15" s="49" t="s">
        <v>60</v>
      </c>
      <c r="H15" s="49" t="s">
        <v>32</v>
      </c>
      <c r="I15" s="52">
        <v>150</v>
      </c>
      <c r="J15" s="53">
        <v>10</v>
      </c>
      <c r="K15" s="50">
        <f>listeAchats[[#This Row],[Coût d''achat]]*listeAchats[[#This Row],[Quantité]]</f>
        <v>1500</v>
      </c>
      <c r="L15" s="9"/>
    </row>
    <row r="16" spans="1:16" ht="18" customHeight="1">
      <c r="A16" s="6"/>
      <c r="B16" s="9"/>
      <c r="C16" s="51">
        <f t="shared" si="0"/>
        <v>48</v>
      </c>
      <c r="D16" s="54">
        <v>44623</v>
      </c>
      <c r="E16" s="49" t="s">
        <v>40</v>
      </c>
      <c r="F16" s="49" t="s">
        <v>62</v>
      </c>
      <c r="G16" s="49" t="s">
        <v>60</v>
      </c>
      <c r="H16" s="49" t="s">
        <v>32</v>
      </c>
      <c r="I16" s="52">
        <v>150</v>
      </c>
      <c r="J16" s="53">
        <v>20</v>
      </c>
      <c r="K16" s="50">
        <f>listeAchats[[#This Row],[Coût d''achat]]*listeAchats[[#This Row],[Quantité]]</f>
        <v>3000</v>
      </c>
      <c r="L16" s="9"/>
    </row>
    <row r="17" spans="1:12" ht="18" customHeight="1">
      <c r="A17" s="6"/>
      <c r="B17" s="9"/>
      <c r="C17" s="51">
        <f t="shared" si="0"/>
        <v>47</v>
      </c>
      <c r="D17" s="54">
        <v>44594</v>
      </c>
      <c r="E17" s="49" t="s">
        <v>40</v>
      </c>
      <c r="F17" s="49" t="s">
        <v>62</v>
      </c>
      <c r="G17" s="49" t="s">
        <v>60</v>
      </c>
      <c r="H17" s="49" t="s">
        <v>32</v>
      </c>
      <c r="I17" s="52">
        <v>150</v>
      </c>
      <c r="J17" s="53">
        <v>10</v>
      </c>
      <c r="K17" s="50">
        <f>listeAchats[[#This Row],[Coût d''achat]]*listeAchats[[#This Row],[Quantité]]</f>
        <v>1500</v>
      </c>
      <c r="L17" s="9"/>
    </row>
    <row r="18" spans="1:12" ht="18" customHeight="1">
      <c r="A18" s="6"/>
      <c r="B18" s="9"/>
      <c r="C18" s="51">
        <f t="shared" si="0"/>
        <v>46</v>
      </c>
      <c r="D18" s="54">
        <v>44562</v>
      </c>
      <c r="E18" s="49" t="s">
        <v>40</v>
      </c>
      <c r="F18" s="49" t="s">
        <v>62</v>
      </c>
      <c r="G18" s="49" t="s">
        <v>60</v>
      </c>
      <c r="H18" s="49" t="s">
        <v>32</v>
      </c>
      <c r="I18" s="52">
        <v>150</v>
      </c>
      <c r="J18" s="53">
        <v>20</v>
      </c>
      <c r="K18" s="50">
        <f>listeAchats[[#This Row],[Coût d''achat]]*listeAchats[[#This Row],[Quantité]]</f>
        <v>3000</v>
      </c>
      <c r="L18" s="9"/>
    </row>
    <row r="19" spans="1:12" ht="18" customHeight="1">
      <c r="A19" s="6"/>
      <c r="B19" s="9"/>
      <c r="C19" s="51">
        <f t="shared" si="0"/>
        <v>45</v>
      </c>
      <c r="D19" s="54">
        <v>44690</v>
      </c>
      <c r="E19" s="49" t="s">
        <v>39</v>
      </c>
      <c r="F19" s="49" t="s">
        <v>63</v>
      </c>
      <c r="G19" s="49" t="s">
        <v>60</v>
      </c>
      <c r="H19" s="49" t="s">
        <v>32</v>
      </c>
      <c r="I19" s="52">
        <v>300</v>
      </c>
      <c r="J19" s="53">
        <v>4</v>
      </c>
      <c r="K19" s="50">
        <f>listeAchats[[#This Row],[Coût d''achat]]*listeAchats[[#This Row],[Quantité]]</f>
        <v>1200</v>
      </c>
      <c r="L19" s="9"/>
    </row>
    <row r="20" spans="1:12" ht="18" customHeight="1">
      <c r="A20" s="6"/>
      <c r="B20" s="9"/>
      <c r="C20" s="51">
        <f t="shared" si="0"/>
        <v>44</v>
      </c>
      <c r="D20" s="54">
        <v>44655</v>
      </c>
      <c r="E20" s="49" t="s">
        <v>39</v>
      </c>
      <c r="F20" s="49" t="s">
        <v>63</v>
      </c>
      <c r="G20" s="49" t="s">
        <v>60</v>
      </c>
      <c r="H20" s="49" t="s">
        <v>32</v>
      </c>
      <c r="I20" s="52">
        <v>300</v>
      </c>
      <c r="J20" s="53">
        <v>4</v>
      </c>
      <c r="K20" s="50">
        <f>listeAchats[[#This Row],[Coût d''achat]]*listeAchats[[#This Row],[Quantité]]</f>
        <v>1200</v>
      </c>
      <c r="L20" s="9"/>
    </row>
    <row r="21" spans="1:12" ht="18" customHeight="1">
      <c r="A21" s="6"/>
      <c r="B21" s="9"/>
      <c r="C21" s="51">
        <f t="shared" si="0"/>
        <v>43</v>
      </c>
      <c r="D21" s="54">
        <v>44626</v>
      </c>
      <c r="E21" s="49" t="s">
        <v>39</v>
      </c>
      <c r="F21" s="49" t="s">
        <v>63</v>
      </c>
      <c r="G21" s="49" t="s">
        <v>60</v>
      </c>
      <c r="H21" s="49" t="s">
        <v>32</v>
      </c>
      <c r="I21" s="52">
        <v>300</v>
      </c>
      <c r="J21" s="53">
        <v>2</v>
      </c>
      <c r="K21" s="50">
        <f>listeAchats[[#This Row],[Coût d''achat]]*listeAchats[[#This Row],[Quantité]]</f>
        <v>600</v>
      </c>
      <c r="L21" s="9"/>
    </row>
    <row r="22" spans="1:12" ht="18" customHeight="1">
      <c r="A22" s="6"/>
      <c r="B22" s="9"/>
      <c r="C22" s="51">
        <f t="shared" si="0"/>
        <v>42</v>
      </c>
      <c r="D22" s="54">
        <v>44607</v>
      </c>
      <c r="E22" s="49" t="s">
        <v>39</v>
      </c>
      <c r="F22" s="49" t="s">
        <v>63</v>
      </c>
      <c r="G22" s="49" t="s">
        <v>60</v>
      </c>
      <c r="H22" s="49" t="s">
        <v>32</v>
      </c>
      <c r="I22" s="52">
        <v>300</v>
      </c>
      <c r="J22" s="53">
        <v>10</v>
      </c>
      <c r="K22" s="50">
        <f>listeAchats[[#This Row],[Coût d''achat]]*listeAchats[[#This Row],[Quantité]]</f>
        <v>3000</v>
      </c>
      <c r="L22" s="9"/>
    </row>
    <row r="23" spans="1:12" ht="18" customHeight="1">
      <c r="A23" s="6"/>
      <c r="B23" s="9"/>
      <c r="C23" s="51">
        <f t="shared" si="0"/>
        <v>41</v>
      </c>
      <c r="D23" s="54">
        <v>44577</v>
      </c>
      <c r="E23" s="49" t="s">
        <v>39</v>
      </c>
      <c r="F23" s="49" t="s">
        <v>63</v>
      </c>
      <c r="G23" s="49" t="s">
        <v>60</v>
      </c>
      <c r="H23" s="49" t="s">
        <v>32</v>
      </c>
      <c r="I23" s="52">
        <v>300</v>
      </c>
      <c r="J23" s="53">
        <v>20</v>
      </c>
      <c r="K23" s="50">
        <f>listeAchats[[#This Row],[Coût d''achat]]*listeAchats[[#This Row],[Quantité]]</f>
        <v>6000</v>
      </c>
      <c r="L23" s="9"/>
    </row>
    <row r="24" spans="1:12" ht="18" customHeight="1">
      <c r="A24" s="6"/>
      <c r="B24" s="9"/>
      <c r="C24" s="51">
        <f t="shared" si="0"/>
        <v>40</v>
      </c>
      <c r="D24" s="54">
        <v>44687</v>
      </c>
      <c r="E24" s="49" t="s">
        <v>38</v>
      </c>
      <c r="F24" s="49" t="s">
        <v>64</v>
      </c>
      <c r="G24" s="49" t="s">
        <v>60</v>
      </c>
      <c r="H24" s="49" t="s">
        <v>32</v>
      </c>
      <c r="I24" s="52">
        <v>700</v>
      </c>
      <c r="J24" s="53">
        <v>6</v>
      </c>
      <c r="K24" s="50">
        <f>listeAchats[[#This Row],[Coût d''achat]]*listeAchats[[#This Row],[Quantité]]</f>
        <v>4200</v>
      </c>
      <c r="L24" s="9"/>
    </row>
    <row r="25" spans="1:12" ht="18" customHeight="1">
      <c r="A25" s="6"/>
      <c r="B25" s="9"/>
      <c r="C25" s="51">
        <f t="shared" si="0"/>
        <v>39</v>
      </c>
      <c r="D25" s="54">
        <v>44657</v>
      </c>
      <c r="E25" s="49" t="s">
        <v>38</v>
      </c>
      <c r="F25" s="49" t="s">
        <v>64</v>
      </c>
      <c r="G25" s="49" t="s">
        <v>60</v>
      </c>
      <c r="H25" s="49" t="s">
        <v>32</v>
      </c>
      <c r="I25" s="52">
        <v>700</v>
      </c>
      <c r="J25" s="53">
        <v>2</v>
      </c>
      <c r="K25" s="50">
        <f>listeAchats[[#This Row],[Coût d''achat]]*listeAchats[[#This Row],[Quantité]]</f>
        <v>1400</v>
      </c>
      <c r="L25" s="9"/>
    </row>
    <row r="26" spans="1:12" ht="18" customHeight="1">
      <c r="A26" s="6"/>
      <c r="B26" s="9"/>
      <c r="C26" s="51">
        <f t="shared" si="0"/>
        <v>38</v>
      </c>
      <c r="D26" s="54">
        <v>44623</v>
      </c>
      <c r="E26" s="49" t="s">
        <v>38</v>
      </c>
      <c r="F26" s="49" t="s">
        <v>64</v>
      </c>
      <c r="G26" s="49" t="s">
        <v>60</v>
      </c>
      <c r="H26" s="49" t="s">
        <v>32</v>
      </c>
      <c r="I26" s="52">
        <v>700</v>
      </c>
      <c r="J26" s="53">
        <v>4</v>
      </c>
      <c r="K26" s="50">
        <f>listeAchats[[#This Row],[Coût d''achat]]*listeAchats[[#This Row],[Quantité]]</f>
        <v>2800</v>
      </c>
      <c r="L26" s="9"/>
    </row>
    <row r="27" spans="1:12" ht="18" customHeight="1">
      <c r="A27" s="6"/>
      <c r="B27" s="9"/>
      <c r="C27" s="51">
        <f t="shared" si="0"/>
        <v>37</v>
      </c>
      <c r="D27" s="54">
        <v>44595</v>
      </c>
      <c r="E27" s="49" t="s">
        <v>38</v>
      </c>
      <c r="F27" s="49" t="s">
        <v>64</v>
      </c>
      <c r="G27" s="49" t="s">
        <v>60</v>
      </c>
      <c r="H27" s="49" t="s">
        <v>32</v>
      </c>
      <c r="I27" s="52">
        <v>700</v>
      </c>
      <c r="J27" s="53">
        <v>3</v>
      </c>
      <c r="K27" s="50">
        <f>listeAchats[[#This Row],[Coût d''achat]]*listeAchats[[#This Row],[Quantité]]</f>
        <v>2100</v>
      </c>
      <c r="L27" s="9"/>
    </row>
    <row r="28" spans="1:12" ht="18" customHeight="1">
      <c r="A28" s="6"/>
      <c r="B28" s="9"/>
      <c r="C28" s="51">
        <f t="shared" si="0"/>
        <v>36</v>
      </c>
      <c r="D28" s="54">
        <v>44583</v>
      </c>
      <c r="E28" s="49" t="s">
        <v>38</v>
      </c>
      <c r="F28" s="49" t="s">
        <v>64</v>
      </c>
      <c r="G28" s="49" t="s">
        <v>60</v>
      </c>
      <c r="H28" s="49" t="s">
        <v>32</v>
      </c>
      <c r="I28" s="52">
        <v>700</v>
      </c>
      <c r="J28" s="53">
        <v>4</v>
      </c>
      <c r="K28" s="50">
        <f>listeAchats[[#This Row],[Coût d''achat]]*listeAchats[[#This Row],[Quantité]]</f>
        <v>2800</v>
      </c>
      <c r="L28" s="9"/>
    </row>
    <row r="29" spans="1:12" ht="18" customHeight="1">
      <c r="A29" s="6"/>
      <c r="B29" s="9"/>
      <c r="C29" s="51">
        <f t="shared" si="0"/>
        <v>35</v>
      </c>
      <c r="D29" s="54">
        <v>44703</v>
      </c>
      <c r="E29" s="49" t="s">
        <v>36</v>
      </c>
      <c r="F29" s="49" t="s">
        <v>50</v>
      </c>
      <c r="G29" s="49" t="s">
        <v>59</v>
      </c>
      <c r="H29" s="49" t="s">
        <v>32</v>
      </c>
      <c r="I29" s="52">
        <v>405</v>
      </c>
      <c r="J29" s="53">
        <v>5</v>
      </c>
      <c r="K29" s="50">
        <f>listeAchats[[#This Row],[Coût d''achat]]*listeAchats[[#This Row],[Quantité]]</f>
        <v>2025</v>
      </c>
      <c r="L29" s="9"/>
    </row>
    <row r="30" spans="1:12" ht="18" customHeight="1">
      <c r="A30" s="6"/>
      <c r="B30" s="9"/>
      <c r="C30" s="51">
        <f t="shared" si="0"/>
        <v>34</v>
      </c>
      <c r="D30" s="54">
        <v>44656</v>
      </c>
      <c r="E30" s="49" t="s">
        <v>36</v>
      </c>
      <c r="F30" s="49" t="s">
        <v>50</v>
      </c>
      <c r="G30" s="49" t="s">
        <v>59</v>
      </c>
      <c r="H30" s="49" t="s">
        <v>32</v>
      </c>
      <c r="I30" s="52">
        <v>410</v>
      </c>
      <c r="J30" s="53">
        <v>10</v>
      </c>
      <c r="K30" s="50">
        <f>listeAchats[[#This Row],[Coût d''achat]]*listeAchats[[#This Row],[Quantité]]</f>
        <v>4100</v>
      </c>
      <c r="L30" s="9"/>
    </row>
    <row r="31" spans="1:12" ht="18" customHeight="1">
      <c r="A31" s="6"/>
      <c r="B31" s="9"/>
      <c r="C31" s="51">
        <f t="shared" si="0"/>
        <v>33</v>
      </c>
      <c r="D31" s="54">
        <v>44625</v>
      </c>
      <c r="E31" s="49" t="s">
        <v>36</v>
      </c>
      <c r="F31" s="49" t="s">
        <v>50</v>
      </c>
      <c r="G31" s="49" t="s">
        <v>59</v>
      </c>
      <c r="H31" s="49" t="s">
        <v>32</v>
      </c>
      <c r="I31" s="52">
        <v>420</v>
      </c>
      <c r="J31" s="53">
        <v>10</v>
      </c>
      <c r="K31" s="50">
        <f>listeAchats[[#This Row],[Coût d''achat]]*listeAchats[[#This Row],[Quantité]]</f>
        <v>4200</v>
      </c>
      <c r="L31" s="9"/>
    </row>
    <row r="32" spans="1:12" ht="18" customHeight="1">
      <c r="A32" s="6"/>
      <c r="B32" s="9"/>
      <c r="C32" s="51">
        <f t="shared" si="0"/>
        <v>32</v>
      </c>
      <c r="D32" s="54">
        <v>44602</v>
      </c>
      <c r="E32" s="49" t="s">
        <v>36</v>
      </c>
      <c r="F32" s="49" t="s">
        <v>50</v>
      </c>
      <c r="G32" s="49" t="s">
        <v>59</v>
      </c>
      <c r="H32" s="49" t="s">
        <v>32</v>
      </c>
      <c r="I32" s="52">
        <v>400</v>
      </c>
      <c r="J32" s="53">
        <v>10</v>
      </c>
      <c r="K32" s="50">
        <f>listeAchats[[#This Row],[Coût d''achat]]*listeAchats[[#This Row],[Quantité]]</f>
        <v>4000</v>
      </c>
      <c r="L32" s="9"/>
    </row>
    <row r="33" spans="1:12" ht="18" customHeight="1">
      <c r="A33" s="6"/>
      <c r="B33" s="9"/>
      <c r="C33" s="51">
        <f t="shared" si="0"/>
        <v>31</v>
      </c>
      <c r="D33" s="54">
        <v>44563</v>
      </c>
      <c r="E33" s="49" t="s">
        <v>36</v>
      </c>
      <c r="F33" s="49" t="s">
        <v>50</v>
      </c>
      <c r="G33" s="49" t="s">
        <v>59</v>
      </c>
      <c r="H33" s="49" t="s">
        <v>32</v>
      </c>
      <c r="I33" s="52">
        <v>400</v>
      </c>
      <c r="J33" s="53">
        <v>5</v>
      </c>
      <c r="K33" s="50">
        <f>listeAchats[[#This Row],[Coût d''achat]]*listeAchats[[#This Row],[Quantité]]</f>
        <v>2000</v>
      </c>
      <c r="L33" s="9"/>
    </row>
    <row r="34" spans="1:12" ht="18" customHeight="1">
      <c r="A34" s="6"/>
      <c r="B34" s="9"/>
      <c r="C34" s="51">
        <f t="shared" si="0"/>
        <v>30</v>
      </c>
      <c r="D34" s="54">
        <v>44689</v>
      </c>
      <c r="E34" s="49" t="s">
        <v>35</v>
      </c>
      <c r="F34" s="49" t="s">
        <v>49</v>
      </c>
      <c r="G34" s="49" t="s">
        <v>59</v>
      </c>
      <c r="H34" s="49" t="s">
        <v>32</v>
      </c>
      <c r="I34" s="52">
        <v>760</v>
      </c>
      <c r="J34" s="53">
        <v>20</v>
      </c>
      <c r="K34" s="50">
        <f>listeAchats[[#This Row],[Coût d''achat]]*listeAchats[[#This Row],[Quantité]]</f>
        <v>15200</v>
      </c>
      <c r="L34" s="9"/>
    </row>
    <row r="35" spans="1:12" ht="18" customHeight="1">
      <c r="A35" s="6"/>
      <c r="B35" s="9"/>
      <c r="C35" s="51">
        <f t="shared" si="0"/>
        <v>29</v>
      </c>
      <c r="D35" s="54">
        <v>44656</v>
      </c>
      <c r="E35" s="49" t="s">
        <v>35</v>
      </c>
      <c r="F35" s="49" t="s">
        <v>49</v>
      </c>
      <c r="G35" s="49" t="s">
        <v>59</v>
      </c>
      <c r="H35" s="49" t="s">
        <v>32</v>
      </c>
      <c r="I35" s="52">
        <v>750</v>
      </c>
      <c r="J35" s="53">
        <v>5</v>
      </c>
      <c r="K35" s="50">
        <f>listeAchats[[#This Row],[Coût d''achat]]*listeAchats[[#This Row],[Quantité]]</f>
        <v>3750</v>
      </c>
      <c r="L35" s="9"/>
    </row>
    <row r="36" spans="1:12" ht="18" customHeight="1">
      <c r="A36" s="6"/>
      <c r="B36" s="9"/>
      <c r="C36" s="51">
        <f t="shared" si="0"/>
        <v>28</v>
      </c>
      <c r="D36" s="54">
        <v>44623</v>
      </c>
      <c r="E36" s="49" t="s">
        <v>35</v>
      </c>
      <c r="F36" s="49" t="s">
        <v>49</v>
      </c>
      <c r="G36" s="49" t="s">
        <v>59</v>
      </c>
      <c r="H36" s="49" t="s">
        <v>32</v>
      </c>
      <c r="I36" s="52">
        <v>745</v>
      </c>
      <c r="J36" s="53">
        <v>10</v>
      </c>
      <c r="K36" s="50">
        <f>listeAchats[[#This Row],[Coût d''achat]]*listeAchats[[#This Row],[Quantité]]</f>
        <v>7450</v>
      </c>
      <c r="L36" s="9"/>
    </row>
    <row r="37" spans="1:12" ht="18" customHeight="1">
      <c r="A37" s="6"/>
      <c r="B37" s="9"/>
      <c r="C37" s="51">
        <f t="shared" si="0"/>
        <v>27</v>
      </c>
      <c r="D37" s="54">
        <v>44618</v>
      </c>
      <c r="E37" s="49" t="s">
        <v>35</v>
      </c>
      <c r="F37" s="49" t="s">
        <v>49</v>
      </c>
      <c r="G37" s="49" t="s">
        <v>59</v>
      </c>
      <c r="H37" s="49" t="s">
        <v>32</v>
      </c>
      <c r="I37" s="52">
        <v>750</v>
      </c>
      <c r="J37" s="53">
        <v>10</v>
      </c>
      <c r="K37" s="50">
        <f>listeAchats[[#This Row],[Coût d''achat]]*listeAchats[[#This Row],[Quantité]]</f>
        <v>7500</v>
      </c>
      <c r="L37" s="9"/>
    </row>
    <row r="38" spans="1:12" ht="18" customHeight="1">
      <c r="A38" s="6"/>
      <c r="B38" s="9"/>
      <c r="C38" s="51">
        <f t="shared" si="0"/>
        <v>26</v>
      </c>
      <c r="D38" s="54">
        <v>44563</v>
      </c>
      <c r="E38" s="49" t="s">
        <v>35</v>
      </c>
      <c r="F38" s="49" t="s">
        <v>49</v>
      </c>
      <c r="G38" s="49" t="s">
        <v>59</v>
      </c>
      <c r="H38" s="49" t="s">
        <v>32</v>
      </c>
      <c r="I38" s="52">
        <v>740</v>
      </c>
      <c r="J38" s="53">
        <v>5</v>
      </c>
      <c r="K38" s="50">
        <f>listeAchats[[#This Row],[Coût d''achat]]*listeAchats[[#This Row],[Quantité]]</f>
        <v>3700</v>
      </c>
      <c r="L38" s="9"/>
    </row>
    <row r="39" spans="1:12" ht="18" customHeight="1">
      <c r="A39" s="6"/>
      <c r="B39" s="9"/>
      <c r="C39" s="51">
        <f t="shared" si="0"/>
        <v>25</v>
      </c>
      <c r="D39" s="54">
        <v>44683</v>
      </c>
      <c r="E39" s="49" t="s">
        <v>53</v>
      </c>
      <c r="F39" s="49" t="s">
        <v>66</v>
      </c>
      <c r="G39" s="49" t="s">
        <v>58</v>
      </c>
      <c r="H39" s="49" t="s">
        <v>32</v>
      </c>
      <c r="I39" s="52">
        <v>1400</v>
      </c>
      <c r="J39" s="53">
        <v>30</v>
      </c>
      <c r="K39" s="50">
        <f>listeAchats[[#This Row],[Coût d''achat]]*listeAchats[[#This Row],[Quantité]]</f>
        <v>42000</v>
      </c>
      <c r="L39" s="9"/>
    </row>
    <row r="40" spans="1:12" ht="18" customHeight="1">
      <c r="A40" s="6"/>
      <c r="B40" s="9"/>
      <c r="C40" s="51">
        <f t="shared" si="0"/>
        <v>24</v>
      </c>
      <c r="D40" s="54">
        <v>44676</v>
      </c>
      <c r="E40" s="49" t="s">
        <v>53</v>
      </c>
      <c r="F40" s="49" t="s">
        <v>66</v>
      </c>
      <c r="G40" s="49" t="s">
        <v>58</v>
      </c>
      <c r="H40" s="49" t="s">
        <v>32</v>
      </c>
      <c r="I40" s="52">
        <v>1400</v>
      </c>
      <c r="J40" s="53">
        <v>20</v>
      </c>
      <c r="K40" s="50">
        <f>listeAchats[[#This Row],[Coût d''achat]]*listeAchats[[#This Row],[Quantité]]</f>
        <v>28000</v>
      </c>
      <c r="L40" s="9"/>
    </row>
    <row r="41" spans="1:12" ht="18" customHeight="1">
      <c r="A41" s="6"/>
      <c r="B41" s="9"/>
      <c r="C41" s="51">
        <f t="shared" ref="C41:C61" si="1">C42+1</f>
        <v>23</v>
      </c>
      <c r="D41" s="54">
        <v>44646</v>
      </c>
      <c r="E41" s="49" t="s">
        <v>53</v>
      </c>
      <c r="F41" s="49" t="s">
        <v>66</v>
      </c>
      <c r="G41" s="49" t="s">
        <v>58</v>
      </c>
      <c r="H41" s="49" t="s">
        <v>32</v>
      </c>
      <c r="I41" s="52">
        <v>1400</v>
      </c>
      <c r="J41" s="53">
        <v>10</v>
      </c>
      <c r="K41" s="50">
        <f>listeAchats[[#This Row],[Coût d''achat]]*listeAchats[[#This Row],[Quantité]]</f>
        <v>14000</v>
      </c>
      <c r="L41" s="9"/>
    </row>
    <row r="42" spans="1:12" ht="18" customHeight="1">
      <c r="A42" s="6"/>
      <c r="B42" s="9"/>
      <c r="C42" s="51">
        <f t="shared" si="1"/>
        <v>22</v>
      </c>
      <c r="D42" s="54">
        <v>44594</v>
      </c>
      <c r="E42" s="49" t="s">
        <v>53</v>
      </c>
      <c r="F42" s="49" t="s">
        <v>66</v>
      </c>
      <c r="G42" s="49" t="s">
        <v>58</v>
      </c>
      <c r="H42" s="49" t="s">
        <v>32</v>
      </c>
      <c r="I42" s="52">
        <v>1400</v>
      </c>
      <c r="J42" s="53">
        <v>6</v>
      </c>
      <c r="K42" s="50">
        <f>listeAchats[[#This Row],[Coût d''achat]]*listeAchats[[#This Row],[Quantité]]</f>
        <v>8400</v>
      </c>
      <c r="L42" s="9"/>
    </row>
    <row r="43" spans="1:12" ht="18" customHeight="1">
      <c r="A43" s="6"/>
      <c r="B43" s="9"/>
      <c r="C43" s="51">
        <f t="shared" si="1"/>
        <v>21</v>
      </c>
      <c r="D43" s="54">
        <v>44593</v>
      </c>
      <c r="E43" s="49" t="s">
        <v>53</v>
      </c>
      <c r="F43" s="49" t="s">
        <v>66</v>
      </c>
      <c r="G43" s="49" t="s">
        <v>58</v>
      </c>
      <c r="H43" s="49" t="s">
        <v>32</v>
      </c>
      <c r="I43" s="52">
        <v>1400</v>
      </c>
      <c r="J43" s="53">
        <v>30</v>
      </c>
      <c r="K43" s="50">
        <f>listeAchats[[#This Row],[Coût d''achat]]*listeAchats[[#This Row],[Quantité]]</f>
        <v>42000</v>
      </c>
      <c r="L43" s="9"/>
    </row>
    <row r="44" spans="1:12" ht="18" customHeight="1">
      <c r="A44" s="6"/>
      <c r="B44" s="9"/>
      <c r="C44" s="51">
        <f t="shared" si="1"/>
        <v>20</v>
      </c>
      <c r="D44" s="54">
        <v>44689</v>
      </c>
      <c r="E44" s="49" t="s">
        <v>52</v>
      </c>
      <c r="F44" s="49" t="s">
        <v>51</v>
      </c>
      <c r="G44" s="49" t="s">
        <v>58</v>
      </c>
      <c r="H44" s="49" t="s">
        <v>32</v>
      </c>
      <c r="I44" s="52">
        <v>620</v>
      </c>
      <c r="J44" s="53">
        <v>3</v>
      </c>
      <c r="K44" s="50">
        <f>listeAchats[[#This Row],[Coût d''achat]]*listeAchats[[#This Row],[Quantité]]</f>
        <v>1860</v>
      </c>
      <c r="L44" s="9"/>
    </row>
    <row r="45" spans="1:12" ht="18" customHeight="1">
      <c r="A45" s="6"/>
      <c r="B45" s="9"/>
      <c r="C45" s="51">
        <f t="shared" si="1"/>
        <v>19</v>
      </c>
      <c r="D45" s="54">
        <v>44656</v>
      </c>
      <c r="E45" s="49" t="s">
        <v>52</v>
      </c>
      <c r="F45" s="49" t="s">
        <v>51</v>
      </c>
      <c r="G45" s="49" t="s">
        <v>58</v>
      </c>
      <c r="H45" s="49" t="s">
        <v>32</v>
      </c>
      <c r="I45" s="52">
        <v>600</v>
      </c>
      <c r="J45" s="53">
        <v>5</v>
      </c>
      <c r="K45" s="50">
        <f>listeAchats[[#This Row],[Coût d''achat]]*listeAchats[[#This Row],[Quantité]]</f>
        <v>3000</v>
      </c>
      <c r="L45" s="9"/>
    </row>
    <row r="46" spans="1:12" ht="18" customHeight="1">
      <c r="A46" s="6"/>
      <c r="B46" s="9"/>
      <c r="C46" s="51">
        <f t="shared" si="1"/>
        <v>18</v>
      </c>
      <c r="D46" s="54">
        <v>44623</v>
      </c>
      <c r="E46" s="49" t="s">
        <v>52</v>
      </c>
      <c r="F46" s="49" t="s">
        <v>51</v>
      </c>
      <c r="G46" s="49" t="s">
        <v>58</v>
      </c>
      <c r="H46" s="49" t="s">
        <v>32</v>
      </c>
      <c r="I46" s="52">
        <v>550</v>
      </c>
      <c r="J46" s="53">
        <v>2</v>
      </c>
      <c r="K46" s="50">
        <f>listeAchats[[#This Row],[Coût d''achat]]*listeAchats[[#This Row],[Quantité]]</f>
        <v>1100</v>
      </c>
      <c r="L46" s="9"/>
    </row>
    <row r="47" spans="1:12" ht="18" customHeight="1">
      <c r="A47" s="6"/>
      <c r="B47" s="9"/>
      <c r="C47" s="51">
        <f t="shared" si="1"/>
        <v>17</v>
      </c>
      <c r="D47" s="54">
        <v>44597</v>
      </c>
      <c r="E47" s="49" t="s">
        <v>52</v>
      </c>
      <c r="F47" s="49" t="s">
        <v>51</v>
      </c>
      <c r="G47" s="49" t="s">
        <v>58</v>
      </c>
      <c r="H47" s="49" t="s">
        <v>32</v>
      </c>
      <c r="I47" s="52">
        <v>600</v>
      </c>
      <c r="J47" s="53">
        <v>5</v>
      </c>
      <c r="K47" s="50">
        <f>listeAchats[[#This Row],[Coût d''achat]]*listeAchats[[#This Row],[Quantité]]</f>
        <v>3000</v>
      </c>
      <c r="L47" s="9"/>
    </row>
    <row r="48" spans="1:12" ht="18" customHeight="1">
      <c r="A48" s="6"/>
      <c r="B48" s="9"/>
      <c r="C48" s="51">
        <f t="shared" si="1"/>
        <v>16</v>
      </c>
      <c r="D48" s="54">
        <v>44581</v>
      </c>
      <c r="E48" s="49" t="s">
        <v>52</v>
      </c>
      <c r="F48" s="49" t="s">
        <v>51</v>
      </c>
      <c r="G48" s="49" t="s">
        <v>58</v>
      </c>
      <c r="H48" s="49" t="s">
        <v>32</v>
      </c>
      <c r="I48" s="52">
        <v>600</v>
      </c>
      <c r="J48" s="53">
        <v>40</v>
      </c>
      <c r="K48" s="50">
        <f>listeAchats[[#This Row],[Coût d''achat]]*listeAchats[[#This Row],[Quantité]]</f>
        <v>24000</v>
      </c>
      <c r="L48" s="9"/>
    </row>
    <row r="49" spans="1:12" ht="18" customHeight="1">
      <c r="A49" s="6"/>
      <c r="B49" s="9"/>
      <c r="C49" s="51">
        <f t="shared" si="1"/>
        <v>15</v>
      </c>
      <c r="D49" s="54">
        <v>44689</v>
      </c>
      <c r="E49" s="49" t="s">
        <v>56</v>
      </c>
      <c r="F49" s="49" t="s">
        <v>18</v>
      </c>
      <c r="G49" s="49" t="s">
        <v>19</v>
      </c>
      <c r="H49" s="49" t="s">
        <v>22</v>
      </c>
      <c r="I49" s="52">
        <v>4</v>
      </c>
      <c r="J49" s="53">
        <v>250</v>
      </c>
      <c r="K49" s="50">
        <f>listeAchats[[#This Row],[Coût d''achat]]*listeAchats[[#This Row],[Quantité]]</f>
        <v>1000</v>
      </c>
      <c r="L49" s="9"/>
    </row>
    <row r="50" spans="1:12" ht="18" customHeight="1">
      <c r="A50" s="6"/>
      <c r="B50" s="9"/>
      <c r="C50" s="51">
        <f t="shared" si="1"/>
        <v>14</v>
      </c>
      <c r="D50" s="54">
        <v>44676</v>
      </c>
      <c r="E50" s="49" t="s">
        <v>56</v>
      </c>
      <c r="F50" s="49" t="s">
        <v>18</v>
      </c>
      <c r="G50" s="49" t="s">
        <v>19</v>
      </c>
      <c r="H50" s="49" t="s">
        <v>22</v>
      </c>
      <c r="I50" s="52">
        <v>4</v>
      </c>
      <c r="J50" s="53">
        <v>30</v>
      </c>
      <c r="K50" s="50">
        <f>listeAchats[[#This Row],[Coût d''achat]]*listeAchats[[#This Row],[Quantité]]</f>
        <v>120</v>
      </c>
      <c r="L50" s="9"/>
    </row>
    <row r="51" spans="1:12" ht="18" customHeight="1">
      <c r="A51" s="6"/>
      <c r="B51" s="9"/>
      <c r="C51" s="51">
        <f t="shared" si="1"/>
        <v>13</v>
      </c>
      <c r="D51" s="54">
        <v>44640</v>
      </c>
      <c r="E51" s="49" t="s">
        <v>56</v>
      </c>
      <c r="F51" s="49" t="s">
        <v>18</v>
      </c>
      <c r="G51" s="49" t="s">
        <v>19</v>
      </c>
      <c r="H51" s="49" t="s">
        <v>22</v>
      </c>
      <c r="I51" s="52">
        <v>4</v>
      </c>
      <c r="J51" s="53">
        <v>20</v>
      </c>
      <c r="K51" s="50">
        <f>listeAchats[[#This Row],[Coût d''achat]]*listeAchats[[#This Row],[Quantité]]</f>
        <v>80</v>
      </c>
      <c r="L51" s="9"/>
    </row>
    <row r="52" spans="1:12" ht="18" customHeight="1">
      <c r="A52" s="6"/>
      <c r="B52" s="9"/>
      <c r="C52" s="51">
        <f t="shared" si="1"/>
        <v>12</v>
      </c>
      <c r="D52" s="54">
        <v>44597</v>
      </c>
      <c r="E52" s="49" t="s">
        <v>56</v>
      </c>
      <c r="F52" s="49" t="s">
        <v>18</v>
      </c>
      <c r="G52" s="49" t="s">
        <v>19</v>
      </c>
      <c r="H52" s="49" t="s">
        <v>22</v>
      </c>
      <c r="I52" s="52">
        <v>4</v>
      </c>
      <c r="J52" s="53">
        <v>10</v>
      </c>
      <c r="K52" s="50">
        <f>listeAchats[[#This Row],[Coût d''achat]]*listeAchats[[#This Row],[Quantité]]</f>
        <v>40</v>
      </c>
      <c r="L52" s="9"/>
    </row>
    <row r="53" spans="1:12" ht="18" customHeight="1">
      <c r="A53" s="6"/>
      <c r="B53" s="9"/>
      <c r="C53" s="51">
        <f t="shared" si="1"/>
        <v>11</v>
      </c>
      <c r="D53" s="54">
        <v>44686</v>
      </c>
      <c r="E53" s="49" t="s">
        <v>55</v>
      </c>
      <c r="F53" s="49" t="s">
        <v>18</v>
      </c>
      <c r="G53" s="49" t="s">
        <v>19</v>
      </c>
      <c r="H53" s="49" t="s">
        <v>21</v>
      </c>
      <c r="I53" s="52">
        <v>2</v>
      </c>
      <c r="J53" s="53">
        <v>50</v>
      </c>
      <c r="K53" s="50">
        <f>listeAchats[[#This Row],[Coût d''achat]]*listeAchats[[#This Row],[Quantité]]</f>
        <v>100</v>
      </c>
      <c r="L53" s="9"/>
    </row>
    <row r="54" spans="1:12" ht="18" customHeight="1">
      <c r="A54" s="6"/>
      <c r="B54" s="9"/>
      <c r="C54" s="51">
        <f t="shared" si="1"/>
        <v>10</v>
      </c>
      <c r="D54" s="54">
        <v>44656</v>
      </c>
      <c r="E54" s="49" t="s">
        <v>55</v>
      </c>
      <c r="F54" s="49" t="s">
        <v>18</v>
      </c>
      <c r="G54" s="49" t="s">
        <v>19</v>
      </c>
      <c r="H54" s="49" t="s">
        <v>21</v>
      </c>
      <c r="I54" s="52">
        <v>2</v>
      </c>
      <c r="J54" s="53">
        <v>5</v>
      </c>
      <c r="K54" s="50">
        <f>listeAchats[[#This Row],[Coût d''achat]]*listeAchats[[#This Row],[Quantité]]</f>
        <v>10</v>
      </c>
      <c r="L54" s="9"/>
    </row>
    <row r="55" spans="1:12" ht="18" customHeight="1">
      <c r="A55" s="6"/>
      <c r="B55" s="9"/>
      <c r="C55" s="51">
        <f t="shared" si="1"/>
        <v>9</v>
      </c>
      <c r="D55" s="54">
        <v>44622</v>
      </c>
      <c r="E55" s="49" t="s">
        <v>55</v>
      </c>
      <c r="F55" s="49" t="s">
        <v>18</v>
      </c>
      <c r="G55" s="49" t="s">
        <v>19</v>
      </c>
      <c r="H55" s="49" t="s">
        <v>21</v>
      </c>
      <c r="I55" s="52">
        <v>2</v>
      </c>
      <c r="J55" s="53">
        <v>4</v>
      </c>
      <c r="K55" s="50">
        <f>listeAchats[[#This Row],[Coût d''achat]]*listeAchats[[#This Row],[Quantité]]</f>
        <v>8</v>
      </c>
      <c r="L55" s="9"/>
    </row>
    <row r="56" spans="1:12" ht="18" customHeight="1">
      <c r="A56" s="6"/>
      <c r="B56" s="9"/>
      <c r="C56" s="51">
        <f t="shared" si="1"/>
        <v>8</v>
      </c>
      <c r="D56" s="54">
        <v>44617</v>
      </c>
      <c r="E56" s="49" t="s">
        <v>55</v>
      </c>
      <c r="F56" s="49" t="s">
        <v>18</v>
      </c>
      <c r="G56" s="49" t="s">
        <v>19</v>
      </c>
      <c r="H56" s="49" t="s">
        <v>21</v>
      </c>
      <c r="I56" s="52">
        <v>2</v>
      </c>
      <c r="J56" s="53">
        <v>60</v>
      </c>
      <c r="K56" s="50">
        <f>listeAchats[[#This Row],[Coût d''achat]]*listeAchats[[#This Row],[Quantité]]</f>
        <v>120</v>
      </c>
      <c r="L56" s="9"/>
    </row>
    <row r="57" spans="1:12" ht="18" customHeight="1">
      <c r="A57" s="6"/>
      <c r="B57" s="9"/>
      <c r="C57" s="51">
        <f t="shared" si="1"/>
        <v>7</v>
      </c>
      <c r="D57" s="54">
        <v>44686</v>
      </c>
      <c r="E57" s="49" t="s">
        <v>54</v>
      </c>
      <c r="F57" s="49" t="s">
        <v>18</v>
      </c>
      <c r="G57" s="49" t="s">
        <v>19</v>
      </c>
      <c r="H57" s="49" t="s">
        <v>20</v>
      </c>
      <c r="I57" s="52">
        <v>0.24</v>
      </c>
      <c r="J57" s="53">
        <v>10</v>
      </c>
      <c r="K57" s="50">
        <f>listeAchats[[#This Row],[Coût d''achat]]*listeAchats[[#This Row],[Quantité]]</f>
        <v>2.4</v>
      </c>
      <c r="L57" s="9"/>
    </row>
    <row r="58" spans="1:12" ht="18" customHeight="1">
      <c r="A58" s="6"/>
      <c r="B58" s="9"/>
      <c r="C58" s="51">
        <f t="shared" si="1"/>
        <v>6</v>
      </c>
      <c r="D58" s="54">
        <v>44654</v>
      </c>
      <c r="E58" s="49" t="s">
        <v>54</v>
      </c>
      <c r="F58" s="49" t="s">
        <v>18</v>
      </c>
      <c r="G58" s="49" t="s">
        <v>19</v>
      </c>
      <c r="H58" s="49" t="s">
        <v>20</v>
      </c>
      <c r="I58" s="52">
        <v>0.23</v>
      </c>
      <c r="J58" s="53">
        <v>5</v>
      </c>
      <c r="K58" s="50">
        <f>listeAchats[[#This Row],[Coût d''achat]]*listeAchats[[#This Row],[Quantité]]</f>
        <v>1.1500000000000001</v>
      </c>
      <c r="L58" s="9"/>
    </row>
    <row r="59" spans="1:12" ht="18" customHeight="1">
      <c r="A59" s="6"/>
      <c r="B59" s="9"/>
      <c r="C59" s="51">
        <f t="shared" si="1"/>
        <v>5</v>
      </c>
      <c r="D59" s="54">
        <v>44640</v>
      </c>
      <c r="E59" s="49" t="s">
        <v>54</v>
      </c>
      <c r="F59" s="49" t="s">
        <v>18</v>
      </c>
      <c r="G59" s="49" t="s">
        <v>19</v>
      </c>
      <c r="H59" s="49" t="s">
        <v>20</v>
      </c>
      <c r="I59" s="52">
        <v>0.2</v>
      </c>
      <c r="J59" s="53">
        <v>50</v>
      </c>
      <c r="K59" s="50">
        <f>listeAchats[[#This Row],[Coût d''achat]]*listeAchats[[#This Row],[Quantité]]</f>
        <v>10</v>
      </c>
      <c r="L59" s="9"/>
    </row>
    <row r="60" spans="1:12" ht="18" customHeight="1">
      <c r="A60" s="6"/>
      <c r="B60" s="9"/>
      <c r="C60" s="51">
        <f t="shared" si="1"/>
        <v>4</v>
      </c>
      <c r="D60" s="54">
        <v>44594</v>
      </c>
      <c r="E60" s="49" t="s">
        <v>54</v>
      </c>
      <c r="F60" s="49" t="s">
        <v>18</v>
      </c>
      <c r="G60" s="49" t="s">
        <v>19</v>
      </c>
      <c r="H60" s="49" t="s">
        <v>20</v>
      </c>
      <c r="I60" s="52">
        <v>0.22</v>
      </c>
      <c r="J60" s="53">
        <v>20</v>
      </c>
      <c r="K60" s="50">
        <f>listeAchats[[#This Row],[Coût d''achat]]*listeAchats[[#This Row],[Quantité]]</f>
        <v>4.4000000000000004</v>
      </c>
      <c r="L60" s="9"/>
    </row>
    <row r="61" spans="1:12" ht="18" customHeight="1">
      <c r="A61" s="6"/>
      <c r="B61" s="9"/>
      <c r="C61" s="51">
        <f t="shared" si="1"/>
        <v>3</v>
      </c>
      <c r="D61" s="54">
        <v>44586</v>
      </c>
      <c r="E61" s="49" t="s">
        <v>54</v>
      </c>
      <c r="F61" s="49" t="s">
        <v>18</v>
      </c>
      <c r="G61" s="49" t="s">
        <v>19</v>
      </c>
      <c r="H61" s="49" t="s">
        <v>20</v>
      </c>
      <c r="I61" s="52">
        <v>0.2</v>
      </c>
      <c r="J61" s="53">
        <v>10</v>
      </c>
      <c r="K61" s="50">
        <f>listeAchats[[#This Row],[Coût d''achat]]*listeAchats[[#This Row],[Quantité]]</f>
        <v>2</v>
      </c>
      <c r="L61" s="9"/>
    </row>
    <row r="62" spans="1:12" ht="18" customHeight="1">
      <c r="A62" s="6"/>
      <c r="B62" s="9"/>
      <c r="C62" s="15">
        <v>2</v>
      </c>
      <c r="D62" s="16">
        <v>44566</v>
      </c>
      <c r="E62" s="13" t="s">
        <v>55</v>
      </c>
      <c r="F62" s="13" t="s">
        <v>18</v>
      </c>
      <c r="G62" s="13" t="s">
        <v>19</v>
      </c>
      <c r="H62" s="13" t="s">
        <v>21</v>
      </c>
      <c r="I62" s="14">
        <v>2</v>
      </c>
      <c r="J62" s="39">
        <v>3</v>
      </c>
      <c r="K62" s="14">
        <f>listeAchats[[#This Row],[Coût d''achat]]*listeAchats[[#This Row],[Quantité]]</f>
        <v>6</v>
      </c>
      <c r="L62" s="9"/>
    </row>
    <row r="63" spans="1:12" ht="18" customHeight="1">
      <c r="B63" s="9"/>
      <c r="C63" s="15">
        <v>1</v>
      </c>
      <c r="D63" s="16">
        <v>44563</v>
      </c>
      <c r="E63" s="13" t="s">
        <v>56</v>
      </c>
      <c r="F63" s="13" t="s">
        <v>18</v>
      </c>
      <c r="G63" s="13" t="s">
        <v>19</v>
      </c>
      <c r="H63" s="13" t="s">
        <v>22</v>
      </c>
      <c r="I63" s="14">
        <v>4</v>
      </c>
      <c r="J63" s="39">
        <v>10</v>
      </c>
      <c r="K63" s="14">
        <f>listeAchats[[#This Row],[Coût d''achat]]*listeAchats[[#This Row],[Quantité]]</f>
        <v>40</v>
      </c>
      <c r="L63" s="9"/>
    </row>
    <row r="64" spans="1:12" ht="18" customHeight="1">
      <c r="B64" s="2"/>
      <c r="C64" s="2"/>
      <c r="D64" s="2"/>
      <c r="E64" s="2"/>
      <c r="F64" s="2"/>
      <c r="G64" s="2"/>
      <c r="H64" s="2"/>
      <c r="I64" s="2"/>
      <c r="J64" s="41"/>
      <c r="K64" s="2"/>
      <c r="L64" s="2"/>
    </row>
    <row r="65" spans="2:12" ht="18" customHeight="1">
      <c r="B65" s="2"/>
      <c r="C65" s="2"/>
      <c r="D65" s="2"/>
      <c r="E65" s="2"/>
      <c r="F65" s="36"/>
      <c r="G65" s="2"/>
      <c r="H65" s="2"/>
      <c r="I65" s="2"/>
      <c r="J65" s="41"/>
      <c r="K65" s="2"/>
      <c r="L65" s="2"/>
    </row>
    <row r="66" spans="2:12" ht="18" customHeight="1"/>
    <row r="67" spans="2:12" ht="19.95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 xr:uid="{2DB9CBF5-089F-4564-B643-D23D426182B6}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1206-68A9-4CBF-8A36-324E888FAAD7}">
  <sheetPr codeName="Feuil9"/>
  <dimension ref="A1:P70"/>
  <sheetViews>
    <sheetView topLeftCell="C7" zoomScale="115" zoomScaleNormal="115" workbookViewId="0">
      <selection activeCell="F19" sqref="F19"/>
    </sheetView>
  </sheetViews>
  <sheetFormatPr baseColWidth="10" defaultColWidth="8.88671875" defaultRowHeight="14.4"/>
  <cols>
    <col min="1" max="1" width="8.109375" style="1" customWidth="1"/>
    <col min="2" max="2" width="8.77734375" style="1" customWidth="1"/>
    <col min="3" max="3" width="9.44140625" style="1" customWidth="1"/>
    <col min="4" max="4" width="12.6640625" style="1" customWidth="1"/>
    <col min="5" max="5" width="11.5546875" style="1" customWidth="1"/>
    <col min="6" max="6" width="28.21875" style="1" customWidth="1"/>
    <col min="7" max="7" width="19.88671875" style="1" customWidth="1"/>
    <col min="8" max="8" width="17.88671875" style="1" customWidth="1"/>
    <col min="9" max="9" width="13.77734375" style="1" customWidth="1"/>
    <col min="10" max="10" width="10.5546875" style="1" customWidth="1"/>
    <col min="11" max="11" width="21.33203125" style="1" customWidth="1"/>
    <col min="12" max="12" width="8.77734375" style="1" customWidth="1"/>
    <col min="13" max="24" width="12.77734375" style="1" customWidth="1"/>
    <col min="25" max="16384" width="8.88671875" style="1"/>
  </cols>
  <sheetData>
    <row r="1" spans="1:16" ht="22.2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8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>
      <c r="A3" s="5"/>
      <c r="B3" s="9"/>
      <c r="C3" s="58" t="s">
        <v>45</v>
      </c>
      <c r="D3" s="58"/>
      <c r="E3" s="58"/>
      <c r="F3" s="58"/>
      <c r="G3" s="58"/>
      <c r="H3" s="58"/>
      <c r="I3" s="58"/>
      <c r="J3" s="58"/>
      <c r="K3" s="58"/>
      <c r="L3" s="3"/>
      <c r="M3" s="5"/>
      <c r="N3" s="5"/>
      <c r="O3" s="5"/>
      <c r="P3" s="5"/>
    </row>
    <row r="4" spans="1:16" ht="16.8" customHeight="1">
      <c r="A4" s="5"/>
      <c r="B4" s="9"/>
      <c r="C4" s="57" t="s">
        <v>46</v>
      </c>
      <c r="D4" s="57"/>
      <c r="E4" s="57"/>
      <c r="F4" s="57"/>
      <c r="G4" s="57"/>
      <c r="H4" s="57"/>
      <c r="I4" s="57"/>
      <c r="J4" s="57"/>
      <c r="K4" s="12"/>
      <c r="L4" s="12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>
      <c r="A6" s="6"/>
      <c r="B6" s="9"/>
      <c r="C6" s="11" t="s">
        <v>7</v>
      </c>
      <c r="D6" s="11" t="s">
        <v>2</v>
      </c>
      <c r="E6" s="11" t="s">
        <v>14</v>
      </c>
      <c r="F6" s="11" t="s">
        <v>0</v>
      </c>
      <c r="G6" s="11" t="s">
        <v>15</v>
      </c>
      <c r="H6" s="11" t="s">
        <v>8</v>
      </c>
      <c r="I6" s="11" t="s">
        <v>5</v>
      </c>
      <c r="J6" s="11" t="s">
        <v>1</v>
      </c>
      <c r="K6" s="11" t="s">
        <v>6</v>
      </c>
      <c r="L6" s="9"/>
    </row>
    <row r="7" spans="1:16" ht="18" customHeight="1">
      <c r="A7" s="6"/>
      <c r="B7" s="9"/>
      <c r="C7" s="15">
        <f>C8+1</f>
        <v>60</v>
      </c>
      <c r="D7" s="16">
        <v>44698</v>
      </c>
      <c r="E7" s="37" t="s">
        <v>55</v>
      </c>
      <c r="F7" s="37" t="s">
        <v>18</v>
      </c>
      <c r="G7" s="37" t="s">
        <v>19</v>
      </c>
      <c r="H7" s="37" t="s">
        <v>21</v>
      </c>
      <c r="I7" s="38">
        <v>2.5</v>
      </c>
      <c r="J7" s="39">
        <v>10</v>
      </c>
      <c r="K7" s="43">
        <f>listeVentes[[#This Row],[Prix de vente]]*listeVentes[[#This Row],[Quantité]]</f>
        <v>25</v>
      </c>
      <c r="L7" s="9"/>
    </row>
    <row r="8" spans="1:16" ht="18" customHeight="1">
      <c r="A8" s="6"/>
      <c r="B8" s="9"/>
      <c r="C8" s="15">
        <f>C9+1</f>
        <v>59</v>
      </c>
      <c r="D8" s="16">
        <v>44698</v>
      </c>
      <c r="E8" s="37" t="s">
        <v>38</v>
      </c>
      <c r="F8" s="37" t="s">
        <v>64</v>
      </c>
      <c r="G8" s="37" t="s">
        <v>60</v>
      </c>
      <c r="H8" s="37" t="s">
        <v>32</v>
      </c>
      <c r="I8" s="38">
        <v>800</v>
      </c>
      <c r="J8" s="39">
        <v>3</v>
      </c>
      <c r="K8" s="43">
        <f>listeVentes[[#This Row],[Prix de vente]]*listeVentes[[#This Row],[Quantité]]</f>
        <v>2400</v>
      </c>
      <c r="L8" s="9"/>
    </row>
    <row r="9" spans="1:16" ht="18" customHeight="1">
      <c r="A9" s="6"/>
      <c r="B9" s="9"/>
      <c r="C9" s="15">
        <f>C10+1</f>
        <v>58</v>
      </c>
      <c r="D9" s="16">
        <v>44670</v>
      </c>
      <c r="E9" s="37" t="s">
        <v>52</v>
      </c>
      <c r="F9" s="37" t="s">
        <v>51</v>
      </c>
      <c r="G9" s="37" t="s">
        <v>58</v>
      </c>
      <c r="H9" s="37" t="s">
        <v>32</v>
      </c>
      <c r="I9" s="38">
        <v>650</v>
      </c>
      <c r="J9" s="39">
        <v>2</v>
      </c>
      <c r="K9" s="43">
        <f>listeVentes[[#This Row],[Prix de vente]]*listeVentes[[#This Row],[Quantité]]</f>
        <v>1300</v>
      </c>
      <c r="L9" s="9"/>
    </row>
    <row r="10" spans="1:16" ht="18" customHeight="1">
      <c r="A10" s="6"/>
      <c r="B10" s="9"/>
      <c r="C10" s="15">
        <f t="shared" ref="C10:C41" si="0">C11+1</f>
        <v>57</v>
      </c>
      <c r="D10" s="16">
        <v>44662</v>
      </c>
      <c r="E10" s="37" t="s">
        <v>54</v>
      </c>
      <c r="F10" s="37" t="s">
        <v>18</v>
      </c>
      <c r="G10" s="37" t="s">
        <v>19</v>
      </c>
      <c r="H10" s="37" t="s">
        <v>20</v>
      </c>
      <c r="I10" s="38">
        <v>0.2</v>
      </c>
      <c r="J10" s="39">
        <v>20</v>
      </c>
      <c r="K10" s="43">
        <f>listeVentes[[#This Row],[Prix de vente]]*listeVentes[[#This Row],[Quantité]]</f>
        <v>4</v>
      </c>
      <c r="L10" s="9"/>
    </row>
    <row r="11" spans="1:16" ht="18" customHeight="1">
      <c r="A11" s="6"/>
      <c r="B11" s="9"/>
      <c r="C11" s="15">
        <f t="shared" si="0"/>
        <v>56</v>
      </c>
      <c r="D11" s="16">
        <v>44687</v>
      </c>
      <c r="E11" s="37" t="s">
        <v>41</v>
      </c>
      <c r="F11" s="37" t="s">
        <v>61</v>
      </c>
      <c r="G11" s="49" t="s">
        <v>60</v>
      </c>
      <c r="H11" s="37" t="s">
        <v>32</v>
      </c>
      <c r="I11" s="38">
        <v>600</v>
      </c>
      <c r="J11" s="39">
        <v>10</v>
      </c>
      <c r="K11" s="43">
        <f>listeVentes[[#This Row],[Prix de vente]]*listeVentes[[#This Row],[Quantité]]</f>
        <v>6000</v>
      </c>
      <c r="L11" s="9"/>
    </row>
    <row r="12" spans="1:16" ht="18" customHeight="1">
      <c r="A12" s="6"/>
      <c r="B12" s="9"/>
      <c r="C12" s="15">
        <f t="shared" si="0"/>
        <v>55</v>
      </c>
      <c r="D12" s="16">
        <v>44655</v>
      </c>
      <c r="E12" s="37" t="s">
        <v>41</v>
      </c>
      <c r="F12" s="37" t="s">
        <v>61</v>
      </c>
      <c r="G12" s="49" t="s">
        <v>60</v>
      </c>
      <c r="H12" s="37" t="s">
        <v>32</v>
      </c>
      <c r="I12" s="38">
        <v>590</v>
      </c>
      <c r="J12" s="39">
        <v>20</v>
      </c>
      <c r="K12" s="43">
        <f>listeVentes[[#This Row],[Prix de vente]]*listeVentes[[#This Row],[Quantité]]</f>
        <v>11800</v>
      </c>
      <c r="L12" s="9"/>
    </row>
    <row r="13" spans="1:16" ht="18" customHeight="1">
      <c r="A13" s="6"/>
      <c r="B13" s="9"/>
      <c r="C13" s="15">
        <f t="shared" si="0"/>
        <v>54</v>
      </c>
      <c r="D13" s="16">
        <v>44623</v>
      </c>
      <c r="E13" s="37" t="s">
        <v>41</v>
      </c>
      <c r="F13" s="37" t="s">
        <v>61</v>
      </c>
      <c r="G13" s="49" t="s">
        <v>60</v>
      </c>
      <c r="H13" s="37" t="s">
        <v>32</v>
      </c>
      <c r="I13" s="38">
        <v>580</v>
      </c>
      <c r="J13" s="39">
        <v>20</v>
      </c>
      <c r="K13" s="43">
        <f>listeVentes[[#This Row],[Prix de vente]]*listeVentes[[#This Row],[Quantité]]</f>
        <v>11600</v>
      </c>
      <c r="L13" s="9"/>
    </row>
    <row r="14" spans="1:16" ht="18" customHeight="1">
      <c r="A14" s="6"/>
      <c r="B14" s="9"/>
      <c r="C14" s="15">
        <f t="shared" si="0"/>
        <v>53</v>
      </c>
      <c r="D14" s="16">
        <v>44598</v>
      </c>
      <c r="E14" s="37" t="s">
        <v>41</v>
      </c>
      <c r="F14" s="37" t="s">
        <v>61</v>
      </c>
      <c r="G14" s="49" t="s">
        <v>60</v>
      </c>
      <c r="H14" s="37" t="s">
        <v>32</v>
      </c>
      <c r="I14" s="38">
        <v>600</v>
      </c>
      <c r="J14" s="39">
        <v>5</v>
      </c>
      <c r="K14" s="43">
        <f>listeVentes[[#This Row],[Prix de vente]]*listeVentes[[#This Row],[Quantité]]</f>
        <v>3000</v>
      </c>
      <c r="L14" s="9"/>
    </row>
    <row r="15" spans="1:16" ht="18" customHeight="1">
      <c r="A15" s="6"/>
      <c r="B15" s="9"/>
      <c r="C15" s="15">
        <f t="shared" si="0"/>
        <v>52</v>
      </c>
      <c r="D15" s="16">
        <v>44562</v>
      </c>
      <c r="E15" s="37" t="s">
        <v>41</v>
      </c>
      <c r="F15" s="37" t="s">
        <v>61</v>
      </c>
      <c r="G15" s="49" t="s">
        <v>60</v>
      </c>
      <c r="H15" s="37" t="s">
        <v>32</v>
      </c>
      <c r="I15" s="38">
        <v>600</v>
      </c>
      <c r="J15" s="39">
        <v>5</v>
      </c>
      <c r="K15" s="43">
        <f>listeVentes[[#This Row],[Prix de vente]]*listeVentes[[#This Row],[Quantité]]</f>
        <v>3000</v>
      </c>
      <c r="L15" s="9"/>
    </row>
    <row r="16" spans="1:16" ht="18" customHeight="1">
      <c r="A16" s="6"/>
      <c r="B16" s="9"/>
      <c r="C16" s="15">
        <f t="shared" si="0"/>
        <v>51</v>
      </c>
      <c r="D16" s="16">
        <v>44686</v>
      </c>
      <c r="E16" s="37" t="s">
        <v>40</v>
      </c>
      <c r="F16" s="37" t="s">
        <v>62</v>
      </c>
      <c r="G16" s="49" t="s">
        <v>60</v>
      </c>
      <c r="H16" s="37" t="s">
        <v>32</v>
      </c>
      <c r="I16" s="38">
        <v>220</v>
      </c>
      <c r="J16" s="39">
        <v>3</v>
      </c>
      <c r="K16" s="43">
        <f>listeVentes[[#This Row],[Prix de vente]]*listeVentes[[#This Row],[Quantité]]</f>
        <v>660</v>
      </c>
      <c r="L16" s="9"/>
    </row>
    <row r="17" spans="1:12" ht="18" customHeight="1">
      <c r="A17" s="6"/>
      <c r="B17" s="9"/>
      <c r="C17" s="15">
        <f t="shared" si="0"/>
        <v>50</v>
      </c>
      <c r="D17" s="16">
        <v>44655</v>
      </c>
      <c r="E17" s="37" t="s">
        <v>40</v>
      </c>
      <c r="F17" s="37" t="s">
        <v>62</v>
      </c>
      <c r="G17" s="49" t="s">
        <v>60</v>
      </c>
      <c r="H17" s="37" t="s">
        <v>32</v>
      </c>
      <c r="I17" s="38">
        <v>200</v>
      </c>
      <c r="J17" s="39">
        <v>5</v>
      </c>
      <c r="K17" s="43">
        <f>listeVentes[[#This Row],[Prix de vente]]*listeVentes[[#This Row],[Quantité]]</f>
        <v>1000</v>
      </c>
      <c r="L17" s="9"/>
    </row>
    <row r="18" spans="1:12" ht="18" customHeight="1">
      <c r="A18" s="6"/>
      <c r="B18" s="9"/>
      <c r="C18" s="15">
        <f t="shared" si="0"/>
        <v>49</v>
      </c>
      <c r="D18" s="16">
        <v>44625</v>
      </c>
      <c r="E18" s="37" t="s">
        <v>40</v>
      </c>
      <c r="F18" s="37" t="s">
        <v>62</v>
      </c>
      <c r="G18" s="49" t="s">
        <v>60</v>
      </c>
      <c r="H18" s="37" t="s">
        <v>32</v>
      </c>
      <c r="I18" s="38">
        <v>250</v>
      </c>
      <c r="J18" s="39">
        <v>10</v>
      </c>
      <c r="K18" s="43">
        <f>listeVentes[[#This Row],[Prix de vente]]*listeVentes[[#This Row],[Quantité]]</f>
        <v>2500</v>
      </c>
      <c r="L18" s="9"/>
    </row>
    <row r="19" spans="1:12" ht="18" customHeight="1">
      <c r="A19" s="6"/>
      <c r="B19" s="9"/>
      <c r="C19" s="15">
        <f t="shared" si="0"/>
        <v>48</v>
      </c>
      <c r="D19" s="16">
        <v>44597</v>
      </c>
      <c r="E19" s="37" t="s">
        <v>40</v>
      </c>
      <c r="F19" s="37" t="s">
        <v>62</v>
      </c>
      <c r="G19" s="49" t="s">
        <v>60</v>
      </c>
      <c r="H19" s="37" t="s">
        <v>32</v>
      </c>
      <c r="I19" s="38">
        <v>200</v>
      </c>
      <c r="J19" s="39">
        <v>5</v>
      </c>
      <c r="K19" s="43">
        <f>listeVentes[[#This Row],[Prix de vente]]*listeVentes[[#This Row],[Quantité]]</f>
        <v>1000</v>
      </c>
      <c r="L19" s="9"/>
    </row>
    <row r="20" spans="1:12" ht="18" customHeight="1">
      <c r="A20" s="6"/>
      <c r="B20" s="9"/>
      <c r="C20" s="15">
        <f t="shared" si="0"/>
        <v>47</v>
      </c>
      <c r="D20" s="16">
        <v>44562</v>
      </c>
      <c r="E20" s="37" t="s">
        <v>40</v>
      </c>
      <c r="F20" s="37" t="s">
        <v>62</v>
      </c>
      <c r="G20" s="49" t="s">
        <v>60</v>
      </c>
      <c r="H20" s="37" t="s">
        <v>32</v>
      </c>
      <c r="I20" s="38">
        <v>200</v>
      </c>
      <c r="J20" s="39">
        <v>5</v>
      </c>
      <c r="K20" s="43">
        <f>listeVentes[[#This Row],[Prix de vente]]*listeVentes[[#This Row],[Quantité]]</f>
        <v>1000</v>
      </c>
      <c r="L20" s="9"/>
    </row>
    <row r="21" spans="1:12" ht="18" customHeight="1">
      <c r="A21" s="6"/>
      <c r="B21" s="9"/>
      <c r="C21" s="15">
        <f t="shared" si="0"/>
        <v>46</v>
      </c>
      <c r="D21" s="16">
        <v>44685</v>
      </c>
      <c r="E21" s="37" t="s">
        <v>39</v>
      </c>
      <c r="F21" s="37" t="s">
        <v>63</v>
      </c>
      <c r="G21" s="49" t="s">
        <v>60</v>
      </c>
      <c r="H21" s="37" t="s">
        <v>32</v>
      </c>
      <c r="I21" s="38">
        <v>400</v>
      </c>
      <c r="J21" s="39">
        <v>2</v>
      </c>
      <c r="K21" s="43">
        <f>listeVentes[[#This Row],[Prix de vente]]*listeVentes[[#This Row],[Quantité]]</f>
        <v>800</v>
      </c>
      <c r="L21" s="9"/>
    </row>
    <row r="22" spans="1:12" ht="18" customHeight="1">
      <c r="A22" s="6"/>
      <c r="B22" s="9"/>
      <c r="C22" s="15">
        <f t="shared" si="0"/>
        <v>45</v>
      </c>
      <c r="D22" s="16">
        <v>44655</v>
      </c>
      <c r="E22" s="37" t="s">
        <v>39</v>
      </c>
      <c r="F22" s="37" t="s">
        <v>63</v>
      </c>
      <c r="G22" s="49" t="s">
        <v>60</v>
      </c>
      <c r="H22" s="37" t="s">
        <v>32</v>
      </c>
      <c r="I22" s="38">
        <v>400</v>
      </c>
      <c r="J22" s="39">
        <v>7</v>
      </c>
      <c r="K22" s="43">
        <f>listeVentes[[#This Row],[Prix de vente]]*listeVentes[[#This Row],[Quantité]]</f>
        <v>2800</v>
      </c>
      <c r="L22" s="9"/>
    </row>
    <row r="23" spans="1:12" ht="18" customHeight="1">
      <c r="A23" s="6"/>
      <c r="B23" s="9"/>
      <c r="C23" s="15">
        <f t="shared" si="0"/>
        <v>44</v>
      </c>
      <c r="D23" s="16">
        <v>44624</v>
      </c>
      <c r="E23" s="37" t="s">
        <v>39</v>
      </c>
      <c r="F23" s="37" t="s">
        <v>63</v>
      </c>
      <c r="G23" s="49" t="s">
        <v>60</v>
      </c>
      <c r="H23" s="37" t="s">
        <v>32</v>
      </c>
      <c r="I23" s="38">
        <v>400</v>
      </c>
      <c r="J23" s="39">
        <v>5</v>
      </c>
      <c r="K23" s="43">
        <f>listeVentes[[#This Row],[Prix de vente]]*listeVentes[[#This Row],[Quantité]]</f>
        <v>2000</v>
      </c>
      <c r="L23" s="9"/>
    </row>
    <row r="24" spans="1:12" ht="18" customHeight="1">
      <c r="A24" s="6"/>
      <c r="B24" s="9"/>
      <c r="C24" s="15">
        <f t="shared" si="0"/>
        <v>43</v>
      </c>
      <c r="D24" s="16">
        <v>44612</v>
      </c>
      <c r="E24" s="37" t="s">
        <v>39</v>
      </c>
      <c r="F24" s="37" t="s">
        <v>63</v>
      </c>
      <c r="G24" s="49" t="s">
        <v>60</v>
      </c>
      <c r="H24" s="37" t="s">
        <v>32</v>
      </c>
      <c r="I24" s="38">
        <v>400</v>
      </c>
      <c r="J24" s="39">
        <v>5</v>
      </c>
      <c r="K24" s="43">
        <f>listeVentes[[#This Row],[Prix de vente]]*listeVentes[[#This Row],[Quantité]]</f>
        <v>2000</v>
      </c>
      <c r="L24" s="9"/>
    </row>
    <row r="25" spans="1:12" ht="18" customHeight="1">
      <c r="A25" s="6"/>
      <c r="B25" s="9"/>
      <c r="C25" s="15">
        <f t="shared" si="0"/>
        <v>42</v>
      </c>
      <c r="D25" s="16">
        <v>44563</v>
      </c>
      <c r="E25" s="37" t="s">
        <v>39</v>
      </c>
      <c r="F25" s="37" t="s">
        <v>63</v>
      </c>
      <c r="G25" s="49" t="s">
        <v>60</v>
      </c>
      <c r="H25" s="37" t="s">
        <v>32</v>
      </c>
      <c r="I25" s="38">
        <v>400</v>
      </c>
      <c r="J25" s="39">
        <v>5</v>
      </c>
      <c r="K25" s="43">
        <f>listeVentes[[#This Row],[Prix de vente]]*listeVentes[[#This Row],[Quantité]]</f>
        <v>2000</v>
      </c>
      <c r="L25" s="9"/>
    </row>
    <row r="26" spans="1:12" ht="18" customHeight="1">
      <c r="A26" s="6"/>
      <c r="B26" s="9"/>
      <c r="C26" s="15">
        <f t="shared" si="0"/>
        <v>41</v>
      </c>
      <c r="D26" s="16">
        <v>44696</v>
      </c>
      <c r="E26" s="37" t="s">
        <v>38</v>
      </c>
      <c r="F26" s="37" t="s">
        <v>65</v>
      </c>
      <c r="G26" s="49" t="s">
        <v>60</v>
      </c>
      <c r="H26" s="37" t="s">
        <v>32</v>
      </c>
      <c r="I26" s="38">
        <v>800</v>
      </c>
      <c r="J26" s="39">
        <v>2</v>
      </c>
      <c r="K26" s="43">
        <f>listeVentes[[#This Row],[Prix de vente]]*listeVentes[[#This Row],[Quantité]]</f>
        <v>1600</v>
      </c>
      <c r="L26" s="9"/>
    </row>
    <row r="27" spans="1:12" ht="18" customHeight="1">
      <c r="A27" s="6"/>
      <c r="B27" s="9"/>
      <c r="C27" s="15">
        <f t="shared" si="0"/>
        <v>40</v>
      </c>
      <c r="D27" s="16">
        <v>44655</v>
      </c>
      <c r="E27" s="37" t="s">
        <v>38</v>
      </c>
      <c r="F27" s="37" t="s">
        <v>65</v>
      </c>
      <c r="G27" s="49" t="s">
        <v>60</v>
      </c>
      <c r="H27" s="37" t="s">
        <v>32</v>
      </c>
      <c r="I27" s="38">
        <v>800</v>
      </c>
      <c r="J27" s="39">
        <v>2</v>
      </c>
      <c r="K27" s="43">
        <f>listeVentes[[#This Row],[Prix de vente]]*listeVentes[[#This Row],[Quantité]]</f>
        <v>1600</v>
      </c>
      <c r="L27" s="9"/>
    </row>
    <row r="28" spans="1:12" ht="18" customHeight="1">
      <c r="A28" s="6"/>
      <c r="B28" s="9"/>
      <c r="C28" s="15">
        <f t="shared" si="0"/>
        <v>39</v>
      </c>
      <c r="D28" s="16">
        <v>44646</v>
      </c>
      <c r="E28" s="37" t="s">
        <v>38</v>
      </c>
      <c r="F28" s="37" t="s">
        <v>65</v>
      </c>
      <c r="G28" s="49" t="s">
        <v>60</v>
      </c>
      <c r="H28" s="37" t="s">
        <v>32</v>
      </c>
      <c r="I28" s="38">
        <v>800</v>
      </c>
      <c r="J28" s="39">
        <v>6</v>
      </c>
      <c r="K28" s="43">
        <f>listeVentes[[#This Row],[Prix de vente]]*listeVentes[[#This Row],[Quantité]]</f>
        <v>4800</v>
      </c>
      <c r="L28" s="9"/>
    </row>
    <row r="29" spans="1:12" ht="18" customHeight="1">
      <c r="A29" s="6"/>
      <c r="B29" s="9"/>
      <c r="C29" s="15">
        <f t="shared" si="0"/>
        <v>38</v>
      </c>
      <c r="D29" s="16">
        <v>44598</v>
      </c>
      <c r="E29" s="37" t="s">
        <v>38</v>
      </c>
      <c r="F29" s="37" t="s">
        <v>65</v>
      </c>
      <c r="G29" s="49" t="s">
        <v>60</v>
      </c>
      <c r="H29" s="37" t="s">
        <v>32</v>
      </c>
      <c r="I29" s="38">
        <v>800</v>
      </c>
      <c r="J29" s="39">
        <v>6</v>
      </c>
      <c r="K29" s="43">
        <f>listeVentes[[#This Row],[Prix de vente]]*listeVentes[[#This Row],[Quantité]]</f>
        <v>4800</v>
      </c>
      <c r="L29" s="9"/>
    </row>
    <row r="30" spans="1:12" ht="18" customHeight="1">
      <c r="A30" s="6"/>
      <c r="B30" s="9"/>
      <c r="C30" s="15">
        <f t="shared" si="0"/>
        <v>37</v>
      </c>
      <c r="D30" s="16">
        <v>44563</v>
      </c>
      <c r="E30" s="37" t="s">
        <v>38</v>
      </c>
      <c r="F30" s="37" t="s">
        <v>65</v>
      </c>
      <c r="G30" s="49" t="s">
        <v>60</v>
      </c>
      <c r="H30" s="37" t="s">
        <v>32</v>
      </c>
      <c r="I30" s="38">
        <v>800</v>
      </c>
      <c r="J30" s="39">
        <v>2</v>
      </c>
      <c r="K30" s="43">
        <f>listeVentes[[#This Row],[Prix de vente]]*listeVentes[[#This Row],[Quantité]]</f>
        <v>1600</v>
      </c>
      <c r="L30" s="9"/>
    </row>
    <row r="31" spans="1:12" ht="18" customHeight="1">
      <c r="A31" s="6"/>
      <c r="B31" s="9"/>
      <c r="C31" s="15">
        <f t="shared" si="0"/>
        <v>36</v>
      </c>
      <c r="D31" s="16">
        <v>44686</v>
      </c>
      <c r="E31" s="37" t="s">
        <v>36</v>
      </c>
      <c r="F31" s="37" t="s">
        <v>50</v>
      </c>
      <c r="G31" s="37" t="s">
        <v>59</v>
      </c>
      <c r="H31" s="37" t="s">
        <v>32</v>
      </c>
      <c r="I31" s="38">
        <v>550</v>
      </c>
      <c r="J31" s="39">
        <v>2</v>
      </c>
      <c r="K31" s="43">
        <f>listeVentes[[#This Row],[Prix de vente]]*listeVentes[[#This Row],[Quantité]]</f>
        <v>1100</v>
      </c>
      <c r="L31" s="9"/>
    </row>
    <row r="32" spans="1:12" ht="18" customHeight="1">
      <c r="A32" s="6"/>
      <c r="B32" s="9"/>
      <c r="C32" s="15">
        <f t="shared" si="0"/>
        <v>35</v>
      </c>
      <c r="D32" s="16">
        <v>44655</v>
      </c>
      <c r="E32" s="37" t="s">
        <v>36</v>
      </c>
      <c r="F32" s="37" t="s">
        <v>50</v>
      </c>
      <c r="G32" s="37" t="s">
        <v>59</v>
      </c>
      <c r="H32" s="37" t="s">
        <v>32</v>
      </c>
      <c r="I32" s="38">
        <v>550</v>
      </c>
      <c r="J32" s="39">
        <v>10</v>
      </c>
      <c r="K32" s="43">
        <f>listeVentes[[#This Row],[Prix de vente]]*listeVentes[[#This Row],[Quantité]]</f>
        <v>5500</v>
      </c>
      <c r="L32" s="9"/>
    </row>
    <row r="33" spans="1:12" ht="18" customHeight="1">
      <c r="A33" s="6"/>
      <c r="B33" s="9"/>
      <c r="C33" s="15">
        <f t="shared" si="0"/>
        <v>34</v>
      </c>
      <c r="D33" s="16">
        <v>44625</v>
      </c>
      <c r="E33" s="37" t="s">
        <v>36</v>
      </c>
      <c r="F33" s="37" t="s">
        <v>50</v>
      </c>
      <c r="G33" s="37" t="s">
        <v>59</v>
      </c>
      <c r="H33" s="37" t="s">
        <v>32</v>
      </c>
      <c r="I33" s="38">
        <v>520</v>
      </c>
      <c r="J33" s="39">
        <v>6</v>
      </c>
      <c r="K33" s="43">
        <f>listeVentes[[#This Row],[Prix de vente]]*listeVentes[[#This Row],[Quantité]]</f>
        <v>3120</v>
      </c>
      <c r="L33" s="9"/>
    </row>
    <row r="34" spans="1:12" ht="18" customHeight="1">
      <c r="A34" s="6"/>
      <c r="B34" s="9"/>
      <c r="C34" s="15">
        <f t="shared" si="0"/>
        <v>33</v>
      </c>
      <c r="D34" s="16">
        <v>44601</v>
      </c>
      <c r="E34" s="37" t="s">
        <v>36</v>
      </c>
      <c r="F34" s="37" t="s">
        <v>50</v>
      </c>
      <c r="G34" s="37" t="s">
        <v>59</v>
      </c>
      <c r="H34" s="37" t="s">
        <v>32</v>
      </c>
      <c r="I34" s="38">
        <v>600</v>
      </c>
      <c r="J34" s="39">
        <v>20</v>
      </c>
      <c r="K34" s="43">
        <f>listeVentes[[#This Row],[Prix de vente]]*listeVentes[[#This Row],[Quantité]]</f>
        <v>12000</v>
      </c>
      <c r="L34" s="9"/>
    </row>
    <row r="35" spans="1:12" ht="18" customHeight="1">
      <c r="A35" s="6"/>
      <c r="B35" s="9"/>
      <c r="C35" s="15">
        <f t="shared" si="0"/>
        <v>32</v>
      </c>
      <c r="D35" s="16">
        <v>44567</v>
      </c>
      <c r="E35" s="37" t="s">
        <v>36</v>
      </c>
      <c r="F35" s="37" t="s">
        <v>50</v>
      </c>
      <c r="G35" s="37" t="s">
        <v>59</v>
      </c>
      <c r="H35" s="37" t="s">
        <v>32</v>
      </c>
      <c r="I35" s="38">
        <v>550</v>
      </c>
      <c r="J35" s="39">
        <v>6</v>
      </c>
      <c r="K35" s="43">
        <f>listeVentes[[#This Row],[Prix de vente]]*listeVentes[[#This Row],[Quantité]]</f>
        <v>3300</v>
      </c>
      <c r="L35" s="9"/>
    </row>
    <row r="36" spans="1:12" ht="18" customHeight="1">
      <c r="A36" s="6"/>
      <c r="B36" s="9"/>
      <c r="C36" s="15">
        <f t="shared" si="0"/>
        <v>31</v>
      </c>
      <c r="D36" s="16">
        <v>44684</v>
      </c>
      <c r="E36" s="37" t="s">
        <v>35</v>
      </c>
      <c r="F36" s="37" t="s">
        <v>49</v>
      </c>
      <c r="G36" s="37" t="s">
        <v>59</v>
      </c>
      <c r="H36" s="37" t="s">
        <v>32</v>
      </c>
      <c r="I36" s="38">
        <v>800</v>
      </c>
      <c r="J36" s="39">
        <v>10</v>
      </c>
      <c r="K36" s="43">
        <f>listeVentes[[#This Row],[Prix de vente]]*listeVentes[[#This Row],[Quantité]]</f>
        <v>8000</v>
      </c>
      <c r="L36" s="9"/>
    </row>
    <row r="37" spans="1:12" ht="18" customHeight="1">
      <c r="A37" s="6"/>
      <c r="B37" s="9"/>
      <c r="C37" s="15">
        <f t="shared" si="0"/>
        <v>30</v>
      </c>
      <c r="D37" s="16">
        <v>44672</v>
      </c>
      <c r="E37" s="37" t="s">
        <v>35</v>
      </c>
      <c r="F37" s="37" t="s">
        <v>49</v>
      </c>
      <c r="G37" s="37" t="s">
        <v>59</v>
      </c>
      <c r="H37" s="37" t="s">
        <v>32</v>
      </c>
      <c r="I37" s="38">
        <v>800</v>
      </c>
      <c r="J37" s="39">
        <v>5</v>
      </c>
      <c r="K37" s="43">
        <f>listeVentes[[#This Row],[Prix de vente]]*listeVentes[[#This Row],[Quantité]]</f>
        <v>4000</v>
      </c>
      <c r="L37" s="9"/>
    </row>
    <row r="38" spans="1:12" ht="18" customHeight="1">
      <c r="A38" s="6"/>
      <c r="B38" s="9"/>
      <c r="C38" s="15">
        <f t="shared" si="0"/>
        <v>29</v>
      </c>
      <c r="D38" s="16">
        <v>44626</v>
      </c>
      <c r="E38" s="37" t="s">
        <v>35</v>
      </c>
      <c r="F38" s="37" t="s">
        <v>49</v>
      </c>
      <c r="G38" s="37" t="s">
        <v>59</v>
      </c>
      <c r="H38" s="37" t="s">
        <v>32</v>
      </c>
      <c r="I38" s="38">
        <v>820</v>
      </c>
      <c r="J38" s="39">
        <v>10</v>
      </c>
      <c r="K38" s="43">
        <f>listeVentes[[#This Row],[Prix de vente]]*listeVentes[[#This Row],[Quantité]]</f>
        <v>8200</v>
      </c>
      <c r="L38" s="9"/>
    </row>
    <row r="39" spans="1:12" ht="18" customHeight="1">
      <c r="A39" s="6"/>
      <c r="B39" s="9"/>
      <c r="C39" s="15">
        <f t="shared" si="0"/>
        <v>28</v>
      </c>
      <c r="D39" s="16">
        <v>44597</v>
      </c>
      <c r="E39" s="37" t="s">
        <v>35</v>
      </c>
      <c r="F39" s="37" t="s">
        <v>49</v>
      </c>
      <c r="G39" s="37" t="s">
        <v>59</v>
      </c>
      <c r="H39" s="37" t="s">
        <v>32</v>
      </c>
      <c r="I39" s="38">
        <v>820</v>
      </c>
      <c r="J39" s="39">
        <v>5</v>
      </c>
      <c r="K39" s="43">
        <f>listeVentes[[#This Row],[Prix de vente]]*listeVentes[[#This Row],[Quantité]]</f>
        <v>4100</v>
      </c>
      <c r="L39" s="9"/>
    </row>
    <row r="40" spans="1:12" ht="18" customHeight="1">
      <c r="A40" s="6"/>
      <c r="B40" s="9"/>
      <c r="C40" s="15">
        <f t="shared" si="0"/>
        <v>27</v>
      </c>
      <c r="D40" s="16">
        <v>44563</v>
      </c>
      <c r="E40" s="37" t="s">
        <v>35</v>
      </c>
      <c r="F40" s="37" t="s">
        <v>49</v>
      </c>
      <c r="G40" s="37" t="s">
        <v>59</v>
      </c>
      <c r="H40" s="37" t="s">
        <v>32</v>
      </c>
      <c r="I40" s="38">
        <v>800</v>
      </c>
      <c r="J40" s="39">
        <v>10</v>
      </c>
      <c r="K40" s="43">
        <f>listeVentes[[#This Row],[Prix de vente]]*listeVentes[[#This Row],[Quantité]]</f>
        <v>8000</v>
      </c>
      <c r="L40" s="9"/>
    </row>
    <row r="41" spans="1:12" ht="18" customHeight="1">
      <c r="A41" s="6"/>
      <c r="B41" s="9"/>
      <c r="C41" s="15">
        <f t="shared" si="0"/>
        <v>26</v>
      </c>
      <c r="D41" s="16">
        <v>44687</v>
      </c>
      <c r="E41" s="37" t="s">
        <v>53</v>
      </c>
      <c r="F41" s="37" t="s">
        <v>66</v>
      </c>
      <c r="G41" s="37" t="s">
        <v>58</v>
      </c>
      <c r="H41" s="37" t="s">
        <v>32</v>
      </c>
      <c r="I41" s="38">
        <v>1500</v>
      </c>
      <c r="J41" s="39">
        <v>12</v>
      </c>
      <c r="K41" s="43">
        <f>listeVentes[[#This Row],[Prix de vente]]*listeVentes[[#This Row],[Quantité]]</f>
        <v>18000</v>
      </c>
      <c r="L41" s="9"/>
    </row>
    <row r="42" spans="1:12" ht="18" customHeight="1">
      <c r="A42" s="6"/>
      <c r="B42" s="9"/>
      <c r="C42" s="15">
        <f t="shared" ref="C42:C62" si="1">C43+1</f>
        <v>25</v>
      </c>
      <c r="D42" s="16">
        <v>44655</v>
      </c>
      <c r="E42" s="37" t="s">
        <v>53</v>
      </c>
      <c r="F42" s="37" t="s">
        <v>66</v>
      </c>
      <c r="G42" s="37" t="s">
        <v>58</v>
      </c>
      <c r="H42" s="37" t="s">
        <v>32</v>
      </c>
      <c r="I42" s="38">
        <v>1500</v>
      </c>
      <c r="J42" s="39">
        <v>30</v>
      </c>
      <c r="K42" s="43">
        <f>listeVentes[[#This Row],[Prix de vente]]*listeVentes[[#This Row],[Quantité]]</f>
        <v>45000</v>
      </c>
      <c r="L42" s="9"/>
    </row>
    <row r="43" spans="1:12" ht="18" customHeight="1">
      <c r="A43" s="6"/>
      <c r="B43" s="9"/>
      <c r="C43" s="15">
        <f t="shared" si="1"/>
        <v>24</v>
      </c>
      <c r="D43" s="16">
        <v>44626</v>
      </c>
      <c r="E43" s="37" t="s">
        <v>53</v>
      </c>
      <c r="F43" s="37" t="s">
        <v>66</v>
      </c>
      <c r="G43" s="37" t="s">
        <v>58</v>
      </c>
      <c r="H43" s="37" t="s">
        <v>32</v>
      </c>
      <c r="I43" s="38">
        <v>1500</v>
      </c>
      <c r="J43" s="39">
        <v>15</v>
      </c>
      <c r="K43" s="43">
        <f>listeVentes[[#This Row],[Prix de vente]]*listeVentes[[#This Row],[Quantité]]</f>
        <v>22500</v>
      </c>
      <c r="L43" s="9"/>
    </row>
    <row r="44" spans="1:12" ht="18" customHeight="1">
      <c r="A44" s="6"/>
      <c r="B44" s="9"/>
      <c r="C44" s="15">
        <f t="shared" si="1"/>
        <v>23</v>
      </c>
      <c r="D44" s="16">
        <v>44594</v>
      </c>
      <c r="E44" s="37" t="s">
        <v>53</v>
      </c>
      <c r="F44" s="37" t="s">
        <v>66</v>
      </c>
      <c r="G44" s="37" t="s">
        <v>58</v>
      </c>
      <c r="H44" s="37" t="s">
        <v>32</v>
      </c>
      <c r="I44" s="38">
        <v>1500</v>
      </c>
      <c r="J44" s="39">
        <v>20</v>
      </c>
      <c r="K44" s="43">
        <f>listeVentes[[#This Row],[Prix de vente]]*listeVentes[[#This Row],[Quantité]]</f>
        <v>30000</v>
      </c>
      <c r="L44" s="9"/>
    </row>
    <row r="45" spans="1:12" ht="18" customHeight="1">
      <c r="A45" s="6"/>
      <c r="B45" s="9"/>
      <c r="C45" s="15">
        <f t="shared" si="1"/>
        <v>22</v>
      </c>
      <c r="D45" s="16">
        <v>44563</v>
      </c>
      <c r="E45" s="37" t="s">
        <v>53</v>
      </c>
      <c r="F45" s="37" t="s">
        <v>66</v>
      </c>
      <c r="G45" s="37" t="s">
        <v>58</v>
      </c>
      <c r="H45" s="37" t="s">
        <v>32</v>
      </c>
      <c r="I45" s="38">
        <v>1400</v>
      </c>
      <c r="J45" s="39">
        <v>10</v>
      </c>
      <c r="K45" s="43">
        <f>listeVentes[[#This Row],[Prix de vente]]*listeVentes[[#This Row],[Quantité]]</f>
        <v>14000</v>
      </c>
      <c r="L45" s="9"/>
    </row>
    <row r="46" spans="1:12" ht="18" customHeight="1">
      <c r="A46" s="6"/>
      <c r="B46" s="9"/>
      <c r="C46" s="15">
        <f t="shared" si="1"/>
        <v>21</v>
      </c>
      <c r="D46" s="16">
        <v>44687</v>
      </c>
      <c r="E46" s="37" t="s">
        <v>52</v>
      </c>
      <c r="F46" s="37" t="s">
        <v>51</v>
      </c>
      <c r="G46" s="37" t="s">
        <v>58</v>
      </c>
      <c r="H46" s="37" t="s">
        <v>32</v>
      </c>
      <c r="I46" s="38">
        <v>720</v>
      </c>
      <c r="J46" s="39">
        <v>23</v>
      </c>
      <c r="K46" s="43">
        <f>listeVentes[[#This Row],[Prix de vente]]*listeVentes[[#This Row],[Quantité]]</f>
        <v>16560</v>
      </c>
      <c r="L46" s="9"/>
    </row>
    <row r="47" spans="1:12" ht="18" customHeight="1">
      <c r="A47" s="6"/>
      <c r="B47" s="9"/>
      <c r="C47" s="15">
        <f t="shared" si="1"/>
        <v>20</v>
      </c>
      <c r="D47" s="16">
        <v>44660</v>
      </c>
      <c r="E47" s="37" t="s">
        <v>52</v>
      </c>
      <c r="F47" s="37" t="s">
        <v>51</v>
      </c>
      <c r="G47" s="37" t="s">
        <v>58</v>
      </c>
      <c r="H47" s="37" t="s">
        <v>32</v>
      </c>
      <c r="I47" s="38">
        <v>680</v>
      </c>
      <c r="J47" s="39">
        <v>2</v>
      </c>
      <c r="K47" s="43">
        <f>listeVentes[[#This Row],[Prix de vente]]*listeVentes[[#This Row],[Quantité]]</f>
        <v>1360</v>
      </c>
      <c r="L47" s="9"/>
    </row>
    <row r="48" spans="1:12" ht="18" customHeight="1">
      <c r="A48" s="6"/>
      <c r="B48" s="9"/>
      <c r="C48" s="15">
        <f t="shared" si="1"/>
        <v>19</v>
      </c>
      <c r="D48" s="16">
        <v>44626</v>
      </c>
      <c r="E48" s="37" t="s">
        <v>52</v>
      </c>
      <c r="F48" s="37" t="s">
        <v>51</v>
      </c>
      <c r="G48" s="37" t="s">
        <v>58</v>
      </c>
      <c r="H48" s="37" t="s">
        <v>32</v>
      </c>
      <c r="I48" s="38">
        <v>700</v>
      </c>
      <c r="J48" s="39">
        <v>20</v>
      </c>
      <c r="K48" s="43">
        <f>listeVentes[[#This Row],[Prix de vente]]*listeVentes[[#This Row],[Quantité]]</f>
        <v>14000</v>
      </c>
      <c r="L48" s="9"/>
    </row>
    <row r="49" spans="1:12" ht="18" customHeight="1">
      <c r="A49" s="6"/>
      <c r="B49" s="9"/>
      <c r="C49" s="15">
        <f t="shared" si="1"/>
        <v>18</v>
      </c>
      <c r="D49" s="16">
        <v>44614</v>
      </c>
      <c r="E49" s="37" t="s">
        <v>52</v>
      </c>
      <c r="F49" s="37" t="s">
        <v>51</v>
      </c>
      <c r="G49" s="37" t="s">
        <v>58</v>
      </c>
      <c r="H49" s="37" t="s">
        <v>32</v>
      </c>
      <c r="I49" s="38">
        <v>670</v>
      </c>
      <c r="J49" s="39">
        <v>5</v>
      </c>
      <c r="K49" s="43">
        <f>listeVentes[[#This Row],[Prix de vente]]*listeVentes[[#This Row],[Quantité]]</f>
        <v>3350</v>
      </c>
      <c r="L49" s="9"/>
    </row>
    <row r="50" spans="1:12" ht="18" customHeight="1">
      <c r="A50" s="6"/>
      <c r="B50" s="9"/>
      <c r="C50" s="15">
        <f t="shared" si="1"/>
        <v>17</v>
      </c>
      <c r="D50" s="16">
        <v>44587</v>
      </c>
      <c r="E50" s="37" t="s">
        <v>52</v>
      </c>
      <c r="F50" s="37" t="s">
        <v>51</v>
      </c>
      <c r="G50" s="37" t="s">
        <v>58</v>
      </c>
      <c r="H50" s="37" t="s">
        <v>32</v>
      </c>
      <c r="I50" s="38">
        <v>680</v>
      </c>
      <c r="J50" s="39">
        <v>8</v>
      </c>
      <c r="K50" s="43">
        <f>listeVentes[[#This Row],[Prix de vente]]*listeVentes[[#This Row],[Quantité]]</f>
        <v>5440</v>
      </c>
      <c r="L50" s="9"/>
    </row>
    <row r="51" spans="1:12" ht="18" customHeight="1">
      <c r="A51" s="6"/>
      <c r="B51" s="9"/>
      <c r="C51" s="15">
        <f t="shared" si="1"/>
        <v>16</v>
      </c>
      <c r="D51" s="16">
        <v>44673</v>
      </c>
      <c r="E51" s="37" t="s">
        <v>56</v>
      </c>
      <c r="F51" s="37" t="s">
        <v>18</v>
      </c>
      <c r="G51" s="37" t="s">
        <v>19</v>
      </c>
      <c r="H51" s="37" t="s">
        <v>22</v>
      </c>
      <c r="I51" s="38">
        <v>4.5999999999999996</v>
      </c>
      <c r="J51" s="39">
        <v>60</v>
      </c>
      <c r="K51" s="43">
        <f>listeVentes[[#This Row],[Prix de vente]]*listeVentes[[#This Row],[Quantité]]</f>
        <v>276</v>
      </c>
      <c r="L51" s="9"/>
    </row>
    <row r="52" spans="1:12" ht="18" customHeight="1">
      <c r="A52" s="6"/>
      <c r="B52" s="9"/>
      <c r="C52" s="15">
        <f t="shared" si="1"/>
        <v>15</v>
      </c>
      <c r="D52" s="16">
        <v>44652</v>
      </c>
      <c r="E52" s="37" t="s">
        <v>56</v>
      </c>
      <c r="F52" s="37" t="s">
        <v>18</v>
      </c>
      <c r="G52" s="37" t="s">
        <v>19</v>
      </c>
      <c r="H52" s="37" t="s">
        <v>22</v>
      </c>
      <c r="I52" s="38">
        <v>5</v>
      </c>
      <c r="J52" s="39">
        <v>60</v>
      </c>
      <c r="K52" s="43">
        <f>listeVentes[[#This Row],[Prix de vente]]*listeVentes[[#This Row],[Quantité]]</f>
        <v>300</v>
      </c>
      <c r="L52" s="9"/>
    </row>
    <row r="53" spans="1:12" ht="18" customHeight="1">
      <c r="A53" s="6"/>
      <c r="B53" s="9"/>
      <c r="C53" s="15">
        <f t="shared" si="1"/>
        <v>14</v>
      </c>
      <c r="D53" s="16">
        <v>44629</v>
      </c>
      <c r="E53" s="37" t="s">
        <v>56</v>
      </c>
      <c r="F53" s="37" t="s">
        <v>18</v>
      </c>
      <c r="G53" s="37" t="s">
        <v>19</v>
      </c>
      <c r="H53" s="37" t="s">
        <v>22</v>
      </c>
      <c r="I53" s="38">
        <v>5</v>
      </c>
      <c r="J53" s="39">
        <v>60</v>
      </c>
      <c r="K53" s="43">
        <f>listeVentes[[#This Row],[Prix de vente]]*listeVentes[[#This Row],[Quantité]]</f>
        <v>300</v>
      </c>
      <c r="L53" s="9"/>
    </row>
    <row r="54" spans="1:12" ht="18" customHeight="1">
      <c r="A54" s="6"/>
      <c r="B54" s="9"/>
      <c r="C54" s="15">
        <f t="shared" si="1"/>
        <v>13</v>
      </c>
      <c r="D54" s="16">
        <v>44598</v>
      </c>
      <c r="E54" s="37" t="s">
        <v>56</v>
      </c>
      <c r="F54" s="37" t="s">
        <v>18</v>
      </c>
      <c r="G54" s="37" t="s">
        <v>19</v>
      </c>
      <c r="H54" s="37" t="s">
        <v>22</v>
      </c>
      <c r="I54" s="38">
        <v>5</v>
      </c>
      <c r="J54" s="39">
        <v>12</v>
      </c>
      <c r="K54" s="43">
        <f>listeVentes[[#This Row],[Prix de vente]]*listeVentes[[#This Row],[Quantité]]</f>
        <v>60</v>
      </c>
      <c r="L54" s="9"/>
    </row>
    <row r="55" spans="1:12" ht="18" customHeight="1">
      <c r="A55" s="6"/>
      <c r="B55" s="9"/>
      <c r="C55" s="15">
        <f t="shared" si="1"/>
        <v>12</v>
      </c>
      <c r="D55" s="16">
        <v>44689</v>
      </c>
      <c r="E55" s="37" t="s">
        <v>55</v>
      </c>
      <c r="F55" s="37" t="s">
        <v>18</v>
      </c>
      <c r="G55" s="37" t="s">
        <v>19</v>
      </c>
      <c r="H55" s="37" t="s">
        <v>21</v>
      </c>
      <c r="I55" s="38">
        <v>3</v>
      </c>
      <c r="J55" s="39">
        <v>10</v>
      </c>
      <c r="K55" s="43">
        <f>listeVentes[[#This Row],[Prix de vente]]*listeVentes[[#This Row],[Quantité]]</f>
        <v>30</v>
      </c>
      <c r="L55" s="9"/>
    </row>
    <row r="56" spans="1:12" ht="18" customHeight="1">
      <c r="A56" s="6"/>
      <c r="B56" s="9"/>
      <c r="C56" s="15">
        <f t="shared" si="1"/>
        <v>11</v>
      </c>
      <c r="D56" s="16">
        <v>44656</v>
      </c>
      <c r="E56" s="37" t="s">
        <v>55</v>
      </c>
      <c r="F56" s="37" t="s">
        <v>18</v>
      </c>
      <c r="G56" s="37" t="s">
        <v>19</v>
      </c>
      <c r="H56" s="37" t="s">
        <v>21</v>
      </c>
      <c r="I56" s="38">
        <v>2.7</v>
      </c>
      <c r="J56" s="39">
        <v>15</v>
      </c>
      <c r="K56" s="43">
        <f>listeVentes[[#This Row],[Prix de vente]]*listeVentes[[#This Row],[Quantité]]</f>
        <v>40.5</v>
      </c>
      <c r="L56" s="9"/>
    </row>
    <row r="57" spans="1:12" ht="18" customHeight="1">
      <c r="A57" s="6"/>
      <c r="B57" s="9"/>
      <c r="C57" s="15">
        <f t="shared" si="1"/>
        <v>10</v>
      </c>
      <c r="D57" s="16">
        <v>44623</v>
      </c>
      <c r="E57" s="37" t="s">
        <v>55</v>
      </c>
      <c r="F57" s="37" t="s">
        <v>18</v>
      </c>
      <c r="G57" s="37" t="s">
        <v>19</v>
      </c>
      <c r="H57" s="37" t="s">
        <v>21</v>
      </c>
      <c r="I57" s="38">
        <v>2.6</v>
      </c>
      <c r="J57" s="39">
        <v>15</v>
      </c>
      <c r="K57" s="43">
        <f>listeVentes[[#This Row],[Prix de vente]]*listeVentes[[#This Row],[Quantité]]</f>
        <v>39</v>
      </c>
      <c r="L57" s="9"/>
    </row>
    <row r="58" spans="1:12" ht="18" customHeight="1">
      <c r="A58" s="6"/>
      <c r="B58" s="9"/>
      <c r="C58" s="15">
        <f t="shared" si="1"/>
        <v>9</v>
      </c>
      <c r="D58" s="16">
        <v>44595</v>
      </c>
      <c r="E58" s="37" t="s">
        <v>55</v>
      </c>
      <c r="F58" s="37" t="s">
        <v>18</v>
      </c>
      <c r="G58" s="37" t="s">
        <v>19</v>
      </c>
      <c r="H58" s="37" t="s">
        <v>21</v>
      </c>
      <c r="I58" s="38">
        <v>2.5</v>
      </c>
      <c r="J58" s="39">
        <v>2</v>
      </c>
      <c r="K58" s="43">
        <f>listeVentes[[#This Row],[Prix de vente]]*listeVentes[[#This Row],[Quantité]]</f>
        <v>5</v>
      </c>
      <c r="L58" s="9"/>
    </row>
    <row r="59" spans="1:12" ht="18" customHeight="1">
      <c r="A59" s="6"/>
      <c r="B59" s="9"/>
      <c r="C59" s="15">
        <f t="shared" si="1"/>
        <v>8</v>
      </c>
      <c r="D59" s="16">
        <v>44703</v>
      </c>
      <c r="E59" s="37" t="s">
        <v>54</v>
      </c>
      <c r="F59" s="37" t="s">
        <v>18</v>
      </c>
      <c r="G59" s="37" t="s">
        <v>19</v>
      </c>
      <c r="H59" s="37" t="s">
        <v>20</v>
      </c>
      <c r="I59" s="38">
        <v>0.3</v>
      </c>
      <c r="J59" s="39">
        <v>4</v>
      </c>
      <c r="K59" s="43">
        <f>listeVentes[[#This Row],[Prix de vente]]*listeVentes[[#This Row],[Quantité]]</f>
        <v>1.2</v>
      </c>
      <c r="L59" s="9"/>
    </row>
    <row r="60" spans="1:12" ht="18" customHeight="1">
      <c r="A60" s="6"/>
      <c r="B60" s="9"/>
      <c r="C60" s="15">
        <f t="shared" si="1"/>
        <v>7</v>
      </c>
      <c r="D60" s="16">
        <v>44655</v>
      </c>
      <c r="E60" s="37" t="s">
        <v>54</v>
      </c>
      <c r="F60" s="37" t="s">
        <v>18</v>
      </c>
      <c r="G60" s="37" t="s">
        <v>19</v>
      </c>
      <c r="H60" s="37" t="s">
        <v>20</v>
      </c>
      <c r="I60" s="38">
        <v>0.3</v>
      </c>
      <c r="J60" s="39">
        <v>15</v>
      </c>
      <c r="K60" s="43">
        <f>listeVentes[[#This Row],[Prix de vente]]*listeVentes[[#This Row],[Quantité]]</f>
        <v>4.5</v>
      </c>
      <c r="L60" s="9"/>
    </row>
    <row r="61" spans="1:12" ht="18" customHeight="1">
      <c r="A61" s="6"/>
      <c r="B61" s="9"/>
      <c r="C61" s="15">
        <f t="shared" si="1"/>
        <v>6</v>
      </c>
      <c r="D61" s="16">
        <v>44626</v>
      </c>
      <c r="E61" s="37" t="s">
        <v>54</v>
      </c>
      <c r="F61" s="37" t="s">
        <v>18</v>
      </c>
      <c r="G61" s="37" t="s">
        <v>19</v>
      </c>
      <c r="H61" s="37" t="s">
        <v>20</v>
      </c>
      <c r="I61" s="38">
        <v>0.3</v>
      </c>
      <c r="J61" s="39">
        <v>20</v>
      </c>
      <c r="K61" s="43">
        <f>listeVentes[[#This Row],[Prix de vente]]*listeVentes[[#This Row],[Quantité]]</f>
        <v>6</v>
      </c>
      <c r="L61" s="9"/>
    </row>
    <row r="62" spans="1:12" ht="18" customHeight="1">
      <c r="A62" s="6"/>
      <c r="B62" s="9"/>
      <c r="C62" s="15">
        <f t="shared" si="1"/>
        <v>5</v>
      </c>
      <c r="D62" s="16">
        <v>44597</v>
      </c>
      <c r="E62" s="37" t="s">
        <v>54</v>
      </c>
      <c r="F62" s="37" t="s">
        <v>18</v>
      </c>
      <c r="G62" s="37" t="s">
        <v>19</v>
      </c>
      <c r="H62" s="37" t="s">
        <v>20</v>
      </c>
      <c r="I62" s="38">
        <v>0.3</v>
      </c>
      <c r="J62" s="39">
        <v>15</v>
      </c>
      <c r="K62" s="43">
        <f>listeVentes[[#This Row],[Prix de vente]]*listeVentes[[#This Row],[Quantité]]</f>
        <v>4.5</v>
      </c>
      <c r="L62" s="9"/>
    </row>
    <row r="63" spans="1:12" ht="18" customHeight="1">
      <c r="A63" s="6"/>
      <c r="B63" s="9"/>
      <c r="C63" s="15">
        <v>4</v>
      </c>
      <c r="D63" s="16">
        <v>44584</v>
      </c>
      <c r="E63" s="37" t="s">
        <v>55</v>
      </c>
      <c r="F63" s="13" t="s">
        <v>18</v>
      </c>
      <c r="G63" s="13" t="s">
        <v>19</v>
      </c>
      <c r="H63" s="13" t="s">
        <v>21</v>
      </c>
      <c r="I63" s="38">
        <v>3</v>
      </c>
      <c r="J63" s="39">
        <v>6</v>
      </c>
      <c r="K63" s="14">
        <f>listeVentes[[#This Row],[Prix de vente]]*listeVentes[[#This Row],[Quantité]]</f>
        <v>18</v>
      </c>
      <c r="L63" s="9"/>
    </row>
    <row r="64" spans="1:12" ht="18" customHeight="1">
      <c r="A64" s="6"/>
      <c r="B64" s="9"/>
      <c r="C64" s="15">
        <v>3</v>
      </c>
      <c r="D64" s="16">
        <v>44582</v>
      </c>
      <c r="E64" s="13" t="s">
        <v>54</v>
      </c>
      <c r="F64" s="13" t="s">
        <v>18</v>
      </c>
      <c r="G64" s="13" t="s">
        <v>19</v>
      </c>
      <c r="H64" s="13" t="s">
        <v>20</v>
      </c>
      <c r="I64" s="14">
        <v>0.3</v>
      </c>
      <c r="J64" s="13">
        <v>5</v>
      </c>
      <c r="K64" s="14">
        <f>listeVentes[[#This Row],[Prix de vente]]*listeVentes[[#This Row],[Quantité]]</f>
        <v>1.5</v>
      </c>
      <c r="L64" s="9"/>
    </row>
    <row r="65" spans="1:12" ht="18" customHeight="1">
      <c r="A65" s="6"/>
      <c r="B65" s="9"/>
      <c r="C65" s="15">
        <v>2</v>
      </c>
      <c r="D65" s="16">
        <v>44578</v>
      </c>
      <c r="E65" s="13" t="s">
        <v>55</v>
      </c>
      <c r="F65" s="13" t="s">
        <v>18</v>
      </c>
      <c r="G65" s="13" t="s">
        <v>19</v>
      </c>
      <c r="H65" s="13" t="s">
        <v>21</v>
      </c>
      <c r="I65" s="14">
        <v>2.2000000000000002</v>
      </c>
      <c r="J65" s="13">
        <v>6</v>
      </c>
      <c r="K65" s="14">
        <f>listeVentes[[#This Row],[Prix de vente]]*listeVentes[[#This Row],[Quantité]]</f>
        <v>13.200000000000001</v>
      </c>
      <c r="L65" s="9"/>
    </row>
    <row r="66" spans="1:12" ht="18" customHeight="1">
      <c r="B66" s="9"/>
      <c r="C66" s="15">
        <v>1</v>
      </c>
      <c r="D66" s="16">
        <v>44571</v>
      </c>
      <c r="E66" s="13" t="s">
        <v>56</v>
      </c>
      <c r="F66" s="13" t="s">
        <v>18</v>
      </c>
      <c r="G66" s="13" t="s">
        <v>19</v>
      </c>
      <c r="H66" s="13" t="s">
        <v>22</v>
      </c>
      <c r="I66" s="14">
        <v>4.2</v>
      </c>
      <c r="J66" s="13">
        <v>3</v>
      </c>
      <c r="K66" s="14">
        <f>listeVentes[[#This Row],[Prix de vente]]*listeVentes[[#This Row],[Quantité]]</f>
        <v>12.600000000000001</v>
      </c>
      <c r="L66" s="9"/>
    </row>
    <row r="67" spans="1:12" ht="18" customHeight="1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/>
    <row r="70" spans="1:12" ht="19.95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 xr:uid="{F2FDCC16-73A3-4195-9F6E-0D4642AA913B}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2B48-77C5-4F10-95A2-5FF5376E5E3D}">
  <sheetPr codeName="Feuil11"/>
  <dimension ref="A1:S20"/>
  <sheetViews>
    <sheetView topLeftCell="C1" zoomScale="115" zoomScaleNormal="115" workbookViewId="0">
      <selection activeCell="C6" sqref="C6"/>
    </sheetView>
  </sheetViews>
  <sheetFormatPr baseColWidth="10" defaultColWidth="8.88671875" defaultRowHeight="14.4"/>
  <cols>
    <col min="1" max="2" width="3.77734375" style="1" customWidth="1"/>
    <col min="3" max="3" width="11.44140625" style="1" customWidth="1"/>
    <col min="4" max="4" width="25.44140625" style="1" customWidth="1"/>
    <col min="5" max="5" width="14.44140625" style="1" customWidth="1"/>
    <col min="6" max="6" width="16.21875" style="1" customWidth="1"/>
    <col min="7" max="7" width="13.5546875" style="1" customWidth="1"/>
    <col min="8" max="8" width="12.88671875" style="1" customWidth="1"/>
    <col min="9" max="9" width="9.44140625" style="1" customWidth="1"/>
    <col min="10" max="10" width="8.6640625" style="1" customWidth="1"/>
    <col min="11" max="11" width="12" style="1" customWidth="1"/>
    <col min="12" max="12" width="12.5546875" style="1" customWidth="1"/>
    <col min="13" max="13" width="13.109375" style="1" customWidth="1"/>
    <col min="14" max="14" width="13.21875" style="1" customWidth="1"/>
    <col min="15" max="15" width="3.77734375" style="1" customWidth="1"/>
    <col min="16" max="27" width="12.77734375" style="1" customWidth="1"/>
    <col min="28" max="16384" width="8.88671875" style="1"/>
  </cols>
  <sheetData>
    <row r="1" spans="1:19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" customHeight="1">
      <c r="A3" s="5"/>
      <c r="B3" s="9"/>
      <c r="C3" s="61" t="s">
        <v>34</v>
      </c>
      <c r="D3" s="61"/>
      <c r="E3" s="23"/>
      <c r="F3" s="23"/>
      <c r="G3" s="23"/>
      <c r="H3" s="59"/>
      <c r="I3" s="59"/>
      <c r="J3" s="23"/>
      <c r="K3" s="23"/>
      <c r="L3" s="23"/>
      <c r="M3" s="23"/>
      <c r="N3" s="23"/>
      <c r="O3" s="3"/>
      <c r="P3" s="5"/>
      <c r="Q3" s="5"/>
      <c r="R3" s="5"/>
      <c r="S3" s="5"/>
    </row>
    <row r="4" spans="1:19" ht="15" customHeight="1">
      <c r="B4" s="9"/>
      <c r="C4" s="61"/>
      <c r="D4" s="61"/>
      <c r="E4" s="24"/>
      <c r="F4" s="24"/>
      <c r="G4" s="24"/>
      <c r="H4" s="60"/>
      <c r="I4" s="60"/>
      <c r="J4" s="60"/>
      <c r="K4" s="23"/>
      <c r="L4" s="23"/>
      <c r="M4" s="23"/>
      <c r="N4" s="23"/>
      <c r="O4" s="3"/>
    </row>
    <row r="5" spans="1:19" ht="18" customHeight="1">
      <c r="A5" s="6"/>
      <c r="B5" s="9"/>
      <c r="C5" s="17" t="s">
        <v>14</v>
      </c>
      <c r="D5" s="18" t="s">
        <v>0</v>
      </c>
      <c r="E5" s="18" t="s">
        <v>15</v>
      </c>
      <c r="F5" s="18" t="s">
        <v>8</v>
      </c>
      <c r="G5" s="18" t="s">
        <v>3</v>
      </c>
      <c r="H5" s="18" t="s">
        <v>10</v>
      </c>
      <c r="I5" s="18" t="s">
        <v>12</v>
      </c>
      <c r="J5" s="18" t="s">
        <v>13</v>
      </c>
      <c r="K5" s="18" t="s">
        <v>11</v>
      </c>
      <c r="L5" s="18" t="s">
        <v>37</v>
      </c>
      <c r="M5" s="18" t="s">
        <v>4</v>
      </c>
      <c r="N5" s="19" t="s">
        <v>16</v>
      </c>
      <c r="O5" s="9"/>
    </row>
    <row r="6" spans="1:19" ht="18" customHeight="1">
      <c r="A6" s="6"/>
      <c r="B6" s="9"/>
      <c r="C6" s="25" t="s">
        <v>52</v>
      </c>
      <c r="D6" s="20" t="str">
        <f>IFERROR(VLOOKUP(listeInventaire[[#This Row],[Référence]],listeProduits[],2,FALSE),"")</f>
        <v>GOOGLE PIXEL 5</v>
      </c>
      <c r="E6" s="20" t="str">
        <f>IFERROR(VLOOKUP(listeInventaire[[#This Row],[Référence]],listeProduits[],3,FALSE),"")</f>
        <v>SmartPhone</v>
      </c>
      <c r="F6" s="20" t="str">
        <f>IFERROR(VLOOKUP(listeInventaire[[#This Row],[Référence]],listeProduits[],4,FALSE),"")</f>
        <v>1 unité</v>
      </c>
      <c r="G6" s="22">
        <f>IFERROR(VLOOKUP(listeInventaire[[#This Row],[Référence]],listeProduits[],5,FALSE),"")</f>
        <v>10</v>
      </c>
      <c r="H6" s="22">
        <f>IFERROR(VLOOKUP(listeInventaire[[#This Row],[Référence]],listeProduits[],6,FALSE),"")</f>
        <v>20</v>
      </c>
      <c r="I6" s="22">
        <f>SUMIF(listeAchats[Référence],listeInventaire[[#This Row],[Référence]],listeAchats[Quantité])</f>
        <v>55</v>
      </c>
      <c r="J6" s="22">
        <f>SUMIF(listeVentes[Référence],listeInventaire[[#This Row],[Référence]],listeVentes[Quantité])</f>
        <v>60</v>
      </c>
      <c r="K6" s="22">
        <f>IFERROR(listeInventaire[[#This Row],[Stock initial]]+listeInventaire[[#This Row],[Entrées]]-listeInventaire[[#This Row],[Sorties]],"")</f>
        <v>15</v>
      </c>
      <c r="L6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1">
        <f>IFERROR(listeInventaire[[#This Row],[Stock final]]*listeInventaire[[#This Row],[CUMP]],"")</f>
        <v>8992</v>
      </c>
      <c r="N6" s="20" t="str">
        <f>IF(listeInventaire[[#This Row],[Stock final]]&gt;listeInventaire[[#This Row],[Seuil d''alerte]],"Stock normal",IF(listeInventaire[[#This Row],[Stock final]]=0,"Non disponible","Stock faible"))</f>
        <v>Stock normal</v>
      </c>
      <c r="O6" s="9"/>
    </row>
    <row r="7" spans="1:19" ht="18" customHeight="1">
      <c r="A7" s="6"/>
      <c r="B7" s="9"/>
      <c r="C7" s="25" t="s">
        <v>53</v>
      </c>
      <c r="D7" s="20" t="str">
        <f>IFERROR(VLOOKUP(listeInventaire[[#This Row],[Référence]],listeProduits[],2,FALSE),"")</f>
        <v>IPHONE 13 PRO</v>
      </c>
      <c r="E7" s="20" t="str">
        <f>IFERROR(VLOOKUP(listeInventaire[[#This Row],[Référence]],listeProduits[],3,FALSE),"")</f>
        <v>SmartPhone</v>
      </c>
      <c r="F7" s="20" t="str">
        <f>IFERROR(VLOOKUP(listeInventaire[[#This Row],[Référence]],listeProduits[],4,FALSE),"")</f>
        <v>1 unité</v>
      </c>
      <c r="G7" s="22">
        <f>IFERROR(VLOOKUP(listeInventaire[[#This Row],[Référence]],listeProduits[],5,FALSE),"")</f>
        <v>10</v>
      </c>
      <c r="H7" s="22">
        <f>IFERROR(VLOOKUP(listeInventaire[[#This Row],[Référence]],listeProduits[],6,FALSE),"")</f>
        <v>3</v>
      </c>
      <c r="I7" s="22">
        <f>SUMIF(listeAchats[Référence],listeInventaire[[#This Row],[Référence]],listeAchats[Quantité])</f>
        <v>96</v>
      </c>
      <c r="J7" s="22">
        <f>SUMIF(listeVentes[Référence],listeInventaire[[#This Row],[Référence]],listeVentes[Quantité])</f>
        <v>87</v>
      </c>
      <c r="K7" s="22">
        <f>IFERROR(listeInventaire[[#This Row],[Stock initial]]+listeInventaire[[#This Row],[Entrées]]-listeInventaire[[#This Row],[Sorties]],"")</f>
        <v>12</v>
      </c>
      <c r="L7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1">
        <f>IFERROR(listeInventaire[[#This Row],[Stock final]]*listeInventaire[[#This Row],[CUMP]],"")</f>
        <v>16800</v>
      </c>
      <c r="N7" s="20" t="str">
        <f>IF(listeInventaire[[#This Row],[Stock final]]&gt;listeInventaire[[#This Row],[Seuil d''alerte]],"Stock normal",IF(listeInventaire[[#This Row],[Stock final]]=0,"Non disponible","Stock faible"))</f>
        <v>Stock normal</v>
      </c>
      <c r="O7" s="9"/>
    </row>
    <row r="8" spans="1:19" ht="18" customHeight="1">
      <c r="B8" s="9"/>
      <c r="C8" s="25" t="s">
        <v>54</v>
      </c>
      <c r="D8" s="20" t="str">
        <f>IFERROR(VLOOKUP(listeInventaire[[#This Row],[Référence]],listeProduits[],2,FALSE),"")</f>
        <v>Oreo</v>
      </c>
      <c r="E8" s="20" t="str">
        <f>IFERROR(VLOOKUP(listeInventaire[[#This Row],[Référence]],listeProduits[],3,FALSE),"")</f>
        <v xml:space="preserve">Biscuits </v>
      </c>
      <c r="F8" s="20" t="str">
        <f>IFERROR(VLOOKUP(listeInventaire[[#This Row],[Référence]],listeProduits[],4,FALSE),"")</f>
        <v xml:space="preserve">1 unité </v>
      </c>
      <c r="G8" s="22">
        <f>IFERROR(VLOOKUP(listeInventaire[[#This Row],[Référence]],listeProduits[],5,FALSE),"")</f>
        <v>10</v>
      </c>
      <c r="H8" s="22">
        <f>IFERROR(VLOOKUP(listeInventaire[[#This Row],[Référence]],listeProduits[],6,FALSE),"")</f>
        <v>10</v>
      </c>
      <c r="I8" s="22">
        <f>SUMIF(listeAchats[Référence],listeInventaire[[#This Row],[Référence]],listeAchats[Quantité])</f>
        <v>95</v>
      </c>
      <c r="J8" s="22">
        <f>SUMIF(listeVentes[Référence],listeInventaire[[#This Row],[Référence]],listeVentes[Quantité])</f>
        <v>79</v>
      </c>
      <c r="K8" s="22">
        <f>IFERROR(listeInventaire[[#This Row],[Stock initial]]+listeInventaire[[#This Row],[Entrées]]-listeInventaire[[#This Row],[Sorties]],"")</f>
        <v>26</v>
      </c>
      <c r="L8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1">
        <f>IFERROR(listeInventaire[[#This Row],[Stock final]]*listeInventaire[[#This Row],[CUMP]],"")</f>
        <v>5.4352380952380956</v>
      </c>
      <c r="N8" s="20" t="str">
        <f>IF(listeInventaire[[#This Row],[Stock final]]&gt;listeInventaire[[#This Row],[Seuil d''alerte]],"Stock normal",IF(listeInventaire[[#This Row],[Stock final]]=0,"Non disponible","Stock faible"))</f>
        <v>Stock normal</v>
      </c>
      <c r="O8" s="9"/>
    </row>
    <row r="9" spans="1:19" ht="18" customHeight="1">
      <c r="B9" s="9"/>
      <c r="C9" s="25" t="s">
        <v>55</v>
      </c>
      <c r="D9" s="20" t="str">
        <f>IFERROR(VLOOKUP(listeInventaire[[#This Row],[Référence]],listeProduits[],2,FALSE),"")</f>
        <v>Oreo</v>
      </c>
      <c r="E9" s="20" t="str">
        <f>IFERROR(VLOOKUP(listeInventaire[[#This Row],[Référence]],listeProduits[],3,FALSE),"")</f>
        <v xml:space="preserve">Biscuits </v>
      </c>
      <c r="F9" s="20" t="str">
        <f>IFERROR(VLOOKUP(listeInventaire[[#This Row],[Référence]],listeProduits[],4,FALSE),"")</f>
        <v>Pack de 10 unités</v>
      </c>
      <c r="G9" s="22">
        <f>IFERROR(VLOOKUP(listeInventaire[[#This Row],[Référence]],listeProduits[],5,FALSE),"")</f>
        <v>50</v>
      </c>
      <c r="H9" s="22">
        <f>IFERROR(VLOOKUP(listeInventaire[[#This Row],[Référence]],listeProduits[],6,FALSE),"")</f>
        <v>15</v>
      </c>
      <c r="I9" s="22">
        <f>SUMIF(listeAchats[Référence],listeInventaire[[#This Row],[Référence]],listeAchats[Quantité])</f>
        <v>147</v>
      </c>
      <c r="J9" s="22">
        <f>SUMIF(listeVentes[Référence],listeInventaire[[#This Row],[Référence]],listeVentes[Quantité])</f>
        <v>64</v>
      </c>
      <c r="K9" s="22">
        <f>IFERROR(listeInventaire[[#This Row],[Stock initial]]+listeInventaire[[#This Row],[Entrées]]-listeInventaire[[#This Row],[Sorties]],"")</f>
        <v>98</v>
      </c>
      <c r="L9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1">
        <f>IFERROR(listeInventaire[[#This Row],[Stock final]]*listeInventaire[[#This Row],[CUMP]],"")</f>
        <v>196</v>
      </c>
      <c r="N9" s="20" t="str">
        <f>IF(listeInventaire[[#This Row],[Stock final]]&gt;listeInventaire[[#This Row],[Seuil d''alerte]],"Stock normal",IF(listeInventaire[[#This Row],[Stock final]]=0,"Non disponible","Stock faible"))</f>
        <v>Stock normal</v>
      </c>
      <c r="O9" s="9"/>
    </row>
    <row r="10" spans="1:19" ht="18" customHeight="1">
      <c r="B10" s="9"/>
      <c r="C10" s="25" t="s">
        <v>56</v>
      </c>
      <c r="D10" s="20" t="str">
        <f>IFERROR(VLOOKUP(listeInventaire[[#This Row],[Référence]],listeProduits[],2,FALSE),"")</f>
        <v>Oreo</v>
      </c>
      <c r="E10" s="20" t="str">
        <f>IFERROR(VLOOKUP(listeInventaire[[#This Row],[Référence]],listeProduits[],3,FALSE),"")</f>
        <v xml:space="preserve">Biscuits </v>
      </c>
      <c r="F10" s="20" t="str">
        <f>IFERROR(VLOOKUP(listeInventaire[[#This Row],[Référence]],listeProduits[],4,FALSE),"")</f>
        <v>Pack de 20 unités</v>
      </c>
      <c r="G10" s="22">
        <f>IFERROR(VLOOKUP(listeInventaire[[#This Row],[Référence]],listeProduits[],5,FALSE),"")</f>
        <v>20</v>
      </c>
      <c r="H10" s="22">
        <f>IFERROR(VLOOKUP(listeInventaire[[#This Row],[Référence]],listeProduits[],6,FALSE),"")</f>
        <v>5</v>
      </c>
      <c r="I10" s="22">
        <f>SUMIF(listeAchats[Référence],listeInventaire[[#This Row],[Référence]],listeAchats[Quantité])</f>
        <v>320</v>
      </c>
      <c r="J10" s="22">
        <f>SUMIF(listeVentes[Référence],listeInventaire[[#This Row],[Référence]],listeVentes[Quantité])</f>
        <v>195</v>
      </c>
      <c r="K10" s="22">
        <f>IFERROR(listeInventaire[[#This Row],[Stock initial]]+listeInventaire[[#This Row],[Entrées]]-listeInventaire[[#This Row],[Sorties]],"")</f>
        <v>130</v>
      </c>
      <c r="L10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1">
        <f>IFERROR(listeInventaire[[#This Row],[Stock final]]*listeInventaire[[#This Row],[CUMP]],"")</f>
        <v>520</v>
      </c>
      <c r="N10" s="20" t="str">
        <f>IF(listeInventaire[[#This Row],[Stock final]]&gt;listeInventaire[[#This Row],[Seuil d''alerte]],"Stock normal",IF(listeInventaire[[#This Row],[Stock final]]=0,"Non disponible","Stock faible"))</f>
        <v>Stock normal</v>
      </c>
      <c r="O10" s="9"/>
    </row>
    <row r="11" spans="1:19" ht="18" customHeight="1">
      <c r="B11" s="9"/>
      <c r="C11" s="25" t="s">
        <v>38</v>
      </c>
      <c r="D11" s="20" t="str">
        <f>IFERROR(VLOOKUP(listeInventaire[[#This Row],[Référence]],listeProduits[],2,FALSE),"")</f>
        <v>Réfrigérateur WHIRLPOOL</v>
      </c>
      <c r="E11" s="20" t="str">
        <f>IFERROR(VLOOKUP(listeInventaire[[#This Row],[Référence]],listeProduits[],3,FALSE),"")</f>
        <v>Electro</v>
      </c>
      <c r="F11" s="20" t="str">
        <f>IFERROR(VLOOKUP(listeInventaire[[#This Row],[Référence]],listeProduits[],4,FALSE),"")</f>
        <v>1 unité</v>
      </c>
      <c r="G11" s="22">
        <f>IFERROR(VLOOKUP(listeInventaire[[#This Row],[Référence]],listeProduits[],5,FALSE),"")</f>
        <v>10</v>
      </c>
      <c r="H11" s="22">
        <f>IFERROR(VLOOKUP(listeInventaire[[#This Row],[Référence]],listeProduits[],6,FALSE),"")</f>
        <v>5</v>
      </c>
      <c r="I11" s="22">
        <f>SUMIF(listeAchats[Référence],listeInventaire[[#This Row],[Référence]],listeAchats[Quantité])</f>
        <v>24</v>
      </c>
      <c r="J11" s="22">
        <f>SUMIF(listeVentes[Référence],listeInventaire[[#This Row],[Référence]],listeVentes[Quantité])</f>
        <v>21</v>
      </c>
      <c r="K11" s="22">
        <f>IFERROR(listeInventaire[[#This Row],[Stock initial]]+listeInventaire[[#This Row],[Entrées]]-listeInventaire[[#This Row],[Sorties]],"")</f>
        <v>8</v>
      </c>
      <c r="L11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1">
        <f>IFERROR(listeInventaire[[#This Row],[Stock final]]*listeInventaire[[#This Row],[CUMP]],"")</f>
        <v>5600</v>
      </c>
      <c r="N11" s="20" t="str">
        <f>IF(listeInventaire[[#This Row],[Stock final]]&gt;listeInventaire[[#This Row],[Seuil d''alerte]],"Stock normal",IF(listeInventaire[[#This Row],[Stock final]]=0,"Non disponible","Stock faible"))</f>
        <v>Stock faible</v>
      </c>
      <c r="O11" s="9"/>
    </row>
    <row r="12" spans="1:19" ht="18" customHeight="1">
      <c r="B12" s="9"/>
      <c r="C12" s="25" t="s">
        <v>39</v>
      </c>
      <c r="D12" s="20" t="str">
        <f>IFERROR(VLOOKUP(listeInventaire[[#This Row],[Référence]],listeProduits[],2,FALSE),"")</f>
        <v>Réfrigérateur SIERA</v>
      </c>
      <c r="E12" s="20" t="str">
        <f>IFERROR(VLOOKUP(listeInventaire[[#This Row],[Référence]],listeProduits[],3,FALSE),"")</f>
        <v>Electro</v>
      </c>
      <c r="F12" s="20" t="str">
        <f>IFERROR(VLOOKUP(listeInventaire[[#This Row],[Référence]],listeProduits[],4,FALSE),"")</f>
        <v>1 unité</v>
      </c>
      <c r="G12" s="22">
        <f>IFERROR(VLOOKUP(listeInventaire[[#This Row],[Référence]],listeProduits[],5,FALSE),"")</f>
        <v>10</v>
      </c>
      <c r="H12" s="22">
        <f>IFERROR(VLOOKUP(listeInventaire[[#This Row],[Référence]],listeProduits[],6,FALSE),"")</f>
        <v>3</v>
      </c>
      <c r="I12" s="22">
        <f>SUMIF(listeAchats[Référence],listeInventaire[[#This Row],[Référence]],listeAchats[Quantité])</f>
        <v>40</v>
      </c>
      <c r="J12" s="22">
        <f>SUMIF(listeVentes[Référence],listeInventaire[[#This Row],[Référence]],listeVentes[Quantité])</f>
        <v>24</v>
      </c>
      <c r="K12" s="22">
        <f>IFERROR(listeInventaire[[#This Row],[Stock initial]]+listeInventaire[[#This Row],[Entrées]]-listeInventaire[[#This Row],[Sorties]],"")</f>
        <v>19</v>
      </c>
      <c r="L12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1">
        <f>IFERROR(listeInventaire[[#This Row],[Stock final]]*listeInventaire[[#This Row],[CUMP]],"")</f>
        <v>5700</v>
      </c>
      <c r="N12" s="20" t="str">
        <f>IF(listeInventaire[[#This Row],[Stock final]]&gt;listeInventaire[[#This Row],[Seuil d''alerte]],"Stock normal",IF(listeInventaire[[#This Row],[Stock final]]=0,"Non disponible","Stock faible"))</f>
        <v>Stock normal</v>
      </c>
      <c r="O12" s="9"/>
    </row>
    <row r="13" spans="1:19" ht="19.95" customHeight="1">
      <c r="B13" s="9"/>
      <c r="C13" s="25" t="s">
        <v>40</v>
      </c>
      <c r="D13" s="20" t="str">
        <f>IFERROR(VLOOKUP(listeInventaire[[#This Row],[Référence]],listeProduits[],2,FALSE),"")</f>
        <v>Cuisinière SIERA</v>
      </c>
      <c r="E13" s="20" t="str">
        <f>IFERROR(VLOOKUP(listeInventaire[[#This Row],[Référence]],listeProduits[],3,FALSE),"")</f>
        <v>Electro</v>
      </c>
      <c r="F13" s="20" t="str">
        <f>IFERROR(VLOOKUP(listeInventaire[[#This Row],[Référence]],listeProduits[],4,FALSE),"")</f>
        <v>1 unité</v>
      </c>
      <c r="G13" s="22">
        <f>IFERROR(VLOOKUP(listeInventaire[[#This Row],[Référence]],listeProduits[],5,FALSE),"")</f>
        <v>10</v>
      </c>
      <c r="H13" s="22">
        <f>IFERROR(VLOOKUP(listeInventaire[[#This Row],[Référence]],listeProduits[],6,FALSE),"")</f>
        <v>6</v>
      </c>
      <c r="I13" s="22">
        <f>SUMIF(listeAchats[Référence],listeInventaire[[#This Row],[Référence]],listeAchats[Quantité])</f>
        <v>65</v>
      </c>
      <c r="J13" s="22">
        <f>SUMIF(listeVentes[Référence],listeInventaire[[#This Row],[Référence]],listeVentes[Quantité])</f>
        <v>28</v>
      </c>
      <c r="K13" s="22">
        <f>IFERROR(listeInventaire[[#This Row],[Stock initial]]+listeInventaire[[#This Row],[Entrées]]-listeInventaire[[#This Row],[Sorties]],"")</f>
        <v>43</v>
      </c>
      <c r="L13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1">
        <f>IFERROR(listeInventaire[[#This Row],[Stock final]]*listeInventaire[[#This Row],[CUMP]],"")</f>
        <v>6450</v>
      </c>
      <c r="N13" s="20" t="str">
        <f>IF(listeInventaire[[#This Row],[Stock final]]&gt;listeInventaire[[#This Row],[Seuil d''alerte]],"Stock normal",IF(listeInventaire[[#This Row],[Stock final]]=0,"Non disponible","Stock faible"))</f>
        <v>Stock normal</v>
      </c>
      <c r="O13" s="9"/>
    </row>
    <row r="14" spans="1:19" ht="19.95" customHeight="1">
      <c r="B14" s="9"/>
      <c r="C14" s="25" t="s">
        <v>41</v>
      </c>
      <c r="D14" s="20" t="str">
        <f>IFERROR(VLOOKUP(listeInventaire[[#This Row],[Référence]],listeProduits[],2,FALSE),"")</f>
        <v>Cuisinière CANDY</v>
      </c>
      <c r="E14" s="20" t="str">
        <f>IFERROR(VLOOKUP(listeInventaire[[#This Row],[Référence]],listeProduits[],3,FALSE),"")</f>
        <v>Electro</v>
      </c>
      <c r="F14" s="20" t="str">
        <f>IFERROR(VLOOKUP(listeInventaire[[#This Row],[Référence]],listeProduits[],4,FALSE),"")</f>
        <v>1 unité</v>
      </c>
      <c r="G14" s="22">
        <f>IFERROR(VLOOKUP(listeInventaire[[#This Row],[Référence]],listeProduits[],5,FALSE),"")</f>
        <v>10</v>
      </c>
      <c r="H14" s="22">
        <f>IFERROR(VLOOKUP(listeInventaire[[#This Row],[Référence]],listeProduits[],6,FALSE),"")</f>
        <v>0</v>
      </c>
      <c r="I14" s="22">
        <f>SUMIF(listeAchats[Référence],listeInventaire[[#This Row],[Référence]],listeAchats[Quantité])</f>
        <v>60</v>
      </c>
      <c r="J14" s="22">
        <f>SUMIF(listeVentes[Référence],listeInventaire[[#This Row],[Référence]],listeVentes[Quantité])</f>
        <v>60</v>
      </c>
      <c r="K14" s="22">
        <f>IFERROR(listeInventaire[[#This Row],[Stock initial]]+listeInventaire[[#This Row],[Entrées]]-listeInventaire[[#This Row],[Sorties]],"")</f>
        <v>0</v>
      </c>
      <c r="L14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1">
        <f>IFERROR(listeInventaire[[#This Row],[Stock final]]*listeInventaire[[#This Row],[CUMP]],"")</f>
        <v>0</v>
      </c>
      <c r="N14" s="20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9"/>
    </row>
    <row r="15" spans="1:19" ht="19.95" customHeight="1">
      <c r="B15" s="9"/>
      <c r="C15" s="56" t="s">
        <v>35</v>
      </c>
      <c r="D15" s="20" t="str">
        <f>IFERROR(VLOOKUP(listeInventaire[[#This Row],[Référence]],listeProduits[],2,FALSE),"")</f>
        <v xml:space="preserve">PLAYSTATION PS5 </v>
      </c>
      <c r="E15" s="20" t="str">
        <f>IFERROR(VLOOKUP(listeInventaire[[#This Row],[Référence]],listeProduits[],3,FALSE),"")</f>
        <v>Consoles</v>
      </c>
      <c r="F15" s="20" t="str">
        <f>IFERROR(VLOOKUP(listeInventaire[[#This Row],[Référence]],listeProduits[],4,FALSE),"")</f>
        <v>1 unité</v>
      </c>
      <c r="G15" s="22">
        <f>IFERROR(VLOOKUP(listeInventaire[[#This Row],[Référence]],listeProduits[],5,FALSE),"")</f>
        <v>10</v>
      </c>
      <c r="H15" s="22">
        <f>IFERROR(VLOOKUP(listeInventaire[[#This Row],[Référence]],listeProduits[],6,FALSE),"")</f>
        <v>3</v>
      </c>
      <c r="I15" s="22">
        <f>SUMIF(listeAchats[Référence],listeInventaire[[#This Row],[Référence]],listeAchats[Quantité])</f>
        <v>50</v>
      </c>
      <c r="J15" s="22">
        <f>SUMIF(listeVentes[Référence],listeInventaire[[#This Row],[Référence]],listeVentes[Quantité])</f>
        <v>40</v>
      </c>
      <c r="K15" s="22">
        <f>IFERROR(listeInventaire[[#This Row],[Stock initial]]+listeInventaire[[#This Row],[Entrées]]-listeInventaire[[#This Row],[Sorties]],"")</f>
        <v>13</v>
      </c>
      <c r="L15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1">
        <f>IFERROR(listeInventaire[[#This Row],[Stock final]]*listeInventaire[[#This Row],[CUMP]],"")</f>
        <v>9774.5283018867922</v>
      </c>
      <c r="N15" s="20" t="str">
        <f>IF(listeInventaire[[#This Row],[Stock final]]&gt;listeInventaire[[#This Row],[Seuil d''alerte]],"Stock normal",IF(listeInventaire[[#This Row],[Stock final]]=0,"Non disponible","Stock faible"))</f>
        <v>Stock normal</v>
      </c>
      <c r="O15" s="9"/>
    </row>
    <row r="16" spans="1:19" ht="19.95" customHeight="1">
      <c r="B16" s="9"/>
      <c r="C16" s="25" t="s">
        <v>36</v>
      </c>
      <c r="D16" s="20" t="str">
        <f>IFERROR(VLOOKUP(listeInventaire[[#This Row],[Référence]],listeProduits[],2,FALSE),"")</f>
        <v>NINTENDO SWITCH</v>
      </c>
      <c r="E16" s="20" t="str">
        <f>IFERROR(VLOOKUP(listeInventaire[[#This Row],[Référence]],listeProduits[],3,FALSE),"")</f>
        <v>Consoles</v>
      </c>
      <c r="F16" s="20" t="str">
        <f>IFERROR(VLOOKUP(listeInventaire[[#This Row],[Référence]],listeProduits[],4,FALSE),"")</f>
        <v>1 unité</v>
      </c>
      <c r="G16" s="22">
        <f>IFERROR(VLOOKUP(listeInventaire[[#This Row],[Référence]],listeProduits[],5,FALSE),"")</f>
        <v>10</v>
      </c>
      <c r="H16" s="22">
        <f>IFERROR(VLOOKUP(listeInventaire[[#This Row],[Référence]],listeProduits[],6,FALSE),"")</f>
        <v>6</v>
      </c>
      <c r="I16" s="22">
        <f>SUMIF(listeAchats[Référence],listeInventaire[[#This Row],[Référence]],listeAchats[Quantité])</f>
        <v>40</v>
      </c>
      <c r="J16" s="22">
        <f>SUMIF(listeVentes[Référence],listeInventaire[[#This Row],[Référence]],listeVentes[Quantité])</f>
        <v>44</v>
      </c>
      <c r="K16" s="22">
        <f>IFERROR(listeInventaire[[#This Row],[Stock initial]]+listeInventaire[[#This Row],[Entrées]]-listeInventaire[[#This Row],[Sorties]],"")</f>
        <v>2</v>
      </c>
      <c r="L16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1">
        <f>IFERROR(listeInventaire[[#This Row],[Stock final]]*listeInventaire[[#This Row],[CUMP]],"")</f>
        <v>814.13043478260875</v>
      </c>
      <c r="N16" s="20" t="str">
        <f>IF(listeInventaire[[#This Row],[Stock final]]&gt;listeInventaire[[#This Row],[Seuil d''alerte]],"Stock normal",IF(listeInventaire[[#This Row],[Stock final]]=0,"Non disponible","Stock faible"))</f>
        <v>Stock faible</v>
      </c>
      <c r="O16" s="9"/>
    </row>
    <row r="17" spans="2:15">
      <c r="B17" s="9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9"/>
    </row>
    <row r="18" spans="2:15">
      <c r="B18" s="9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9"/>
    </row>
    <row r="19" spans="2:15">
      <c r="B19" s="9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9"/>
    </row>
    <row r="20" spans="2:15">
      <c r="B20" s="9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9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25" priority="1" operator="containsText" text="Stock faible">
      <formula>NOT(ISERROR(SEARCH("Stock faible",N6)))</formula>
    </cfRule>
    <cfRule type="containsText" dxfId="24" priority="2" operator="containsText" text="Stock normal">
      <formula>NOT(ISERROR(SEARCH("Stock normal",N6)))</formula>
    </cfRule>
    <cfRule type="containsText" dxfId="23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66258-3F77-40F0-9742-5EBCFCDA16C9}">
  <sheetPr codeName="Feuil2"/>
  <dimension ref="A2:I114"/>
  <sheetViews>
    <sheetView topLeftCell="A99" zoomScale="99" zoomScaleNormal="99" workbookViewId="0">
      <selection activeCell="A112" sqref="A112"/>
    </sheetView>
  </sheetViews>
  <sheetFormatPr baseColWidth="10" defaultRowHeight="14.4"/>
  <cols>
    <col min="1" max="1" width="19.77734375" bestFit="1" customWidth="1"/>
    <col min="2" max="2" width="14.77734375" bestFit="1" customWidth="1"/>
    <col min="3" max="3" width="15.77734375" bestFit="1" customWidth="1"/>
    <col min="4" max="4" width="27.88671875" customWidth="1"/>
    <col min="5" max="6" width="10.77734375" bestFit="1" customWidth="1"/>
    <col min="7" max="7" width="20.44140625" customWidth="1"/>
    <col min="8" max="38" width="10.77734375" bestFit="1" customWidth="1"/>
    <col min="39" max="39" width="11.88671875" bestFit="1" customWidth="1"/>
    <col min="40" max="40" width="17.88671875" bestFit="1" customWidth="1"/>
    <col min="41" max="41" width="18.88671875" bestFit="1" customWidth="1"/>
    <col min="42" max="42" width="17.88671875" bestFit="1" customWidth="1"/>
    <col min="43" max="43" width="18.88671875" bestFit="1" customWidth="1"/>
    <col min="44" max="44" width="17.88671875" bestFit="1" customWidth="1"/>
    <col min="45" max="45" width="18.88671875" bestFit="1" customWidth="1"/>
    <col min="46" max="46" width="17.88671875" bestFit="1" customWidth="1"/>
    <col min="47" max="47" width="18.88671875" bestFit="1" customWidth="1"/>
    <col min="48" max="48" width="17.88671875" bestFit="1" customWidth="1"/>
    <col min="49" max="49" width="18.88671875" bestFit="1" customWidth="1"/>
    <col min="50" max="50" width="17.88671875" bestFit="1" customWidth="1"/>
    <col min="51" max="51" width="18.88671875" bestFit="1" customWidth="1"/>
    <col min="52" max="52" width="17.88671875" bestFit="1" customWidth="1"/>
    <col min="53" max="53" width="18.88671875" bestFit="1" customWidth="1"/>
    <col min="54" max="54" width="17.88671875" bestFit="1" customWidth="1"/>
    <col min="55" max="55" width="18.88671875" bestFit="1" customWidth="1"/>
    <col min="56" max="56" width="17.88671875" bestFit="1" customWidth="1"/>
    <col min="57" max="57" width="18.88671875" bestFit="1" customWidth="1"/>
    <col min="58" max="58" width="17.88671875" bestFit="1" customWidth="1"/>
    <col min="59" max="59" width="18.88671875" bestFit="1" customWidth="1"/>
    <col min="60" max="60" width="17.88671875" bestFit="1" customWidth="1"/>
    <col min="61" max="61" width="18.88671875" bestFit="1" customWidth="1"/>
    <col min="62" max="62" width="17.88671875" bestFit="1" customWidth="1"/>
    <col min="63" max="63" width="18.88671875" bestFit="1" customWidth="1"/>
    <col min="64" max="64" width="17.88671875" bestFit="1" customWidth="1"/>
    <col min="65" max="65" width="18.88671875" bestFit="1" customWidth="1"/>
    <col min="66" max="66" width="17.88671875" bestFit="1" customWidth="1"/>
    <col min="67" max="67" width="18.88671875" bestFit="1" customWidth="1"/>
    <col min="68" max="68" width="17.88671875" bestFit="1" customWidth="1"/>
    <col min="69" max="69" width="18.88671875" bestFit="1" customWidth="1"/>
    <col min="70" max="70" width="17.88671875" bestFit="1" customWidth="1"/>
    <col min="71" max="71" width="18.88671875" bestFit="1" customWidth="1"/>
    <col min="72" max="72" width="17.88671875" bestFit="1" customWidth="1"/>
    <col min="73" max="73" width="18.88671875" bestFit="1" customWidth="1"/>
    <col min="74" max="74" width="17.88671875" bestFit="1" customWidth="1"/>
    <col min="75" max="75" width="18.88671875" bestFit="1" customWidth="1"/>
    <col min="76" max="76" width="22.6640625" bestFit="1" customWidth="1"/>
    <col min="77" max="77" width="23.6640625" bestFit="1" customWidth="1"/>
  </cols>
  <sheetData>
    <row r="2" spans="1:9">
      <c r="E2" t="s">
        <v>15</v>
      </c>
      <c r="G2" t="s">
        <v>14</v>
      </c>
      <c r="I2" t="s">
        <v>72</v>
      </c>
    </row>
    <row r="3" spans="1:9">
      <c r="A3" t="s">
        <v>67</v>
      </c>
      <c r="B3" t="s">
        <v>68</v>
      </c>
      <c r="E3" t="s">
        <v>19</v>
      </c>
      <c r="G3" t="s">
        <v>55</v>
      </c>
      <c r="I3" t="s">
        <v>73</v>
      </c>
    </row>
    <row r="4" spans="1:9">
      <c r="A4" s="62">
        <v>366</v>
      </c>
      <c r="B4" s="63">
        <v>54852.093974764633</v>
      </c>
      <c r="E4" t="s">
        <v>60</v>
      </c>
      <c r="G4" t="s">
        <v>38</v>
      </c>
      <c r="I4" t="s">
        <v>74</v>
      </c>
    </row>
    <row r="5" spans="1:9">
      <c r="E5" t="s">
        <v>59</v>
      </c>
      <c r="G5" t="s">
        <v>52</v>
      </c>
      <c r="I5" t="s">
        <v>75</v>
      </c>
    </row>
    <row r="6" spans="1:9">
      <c r="A6" t="s">
        <v>70</v>
      </c>
      <c r="B6" t="s">
        <v>69</v>
      </c>
      <c r="E6" t="s">
        <v>58</v>
      </c>
      <c r="G6" t="s">
        <v>54</v>
      </c>
      <c r="I6" t="s">
        <v>76</v>
      </c>
    </row>
    <row r="7" spans="1:9">
      <c r="A7" s="62">
        <v>992</v>
      </c>
      <c r="B7" s="63">
        <v>291428.95000000007</v>
      </c>
      <c r="G7" t="s">
        <v>41</v>
      </c>
      <c r="I7" t="s">
        <v>77</v>
      </c>
    </row>
    <row r="8" spans="1:9">
      <c r="G8" t="s">
        <v>40</v>
      </c>
    </row>
    <row r="9" spans="1:9">
      <c r="A9" t="s">
        <v>70</v>
      </c>
      <c r="B9" t="s">
        <v>69</v>
      </c>
      <c r="G9" t="s">
        <v>39</v>
      </c>
    </row>
    <row r="10" spans="1:9">
      <c r="A10" s="62">
        <v>702</v>
      </c>
      <c r="B10" s="63">
        <v>297931</v>
      </c>
      <c r="D10" s="62"/>
      <c r="G10" t="s">
        <v>36</v>
      </c>
    </row>
    <row r="11" spans="1:9">
      <c r="G11" t="s">
        <v>35</v>
      </c>
    </row>
    <row r="12" spans="1:9">
      <c r="A12" s="64" t="s">
        <v>78</v>
      </c>
      <c r="B12" t="s">
        <v>67</v>
      </c>
      <c r="G12" t="s">
        <v>53</v>
      </c>
    </row>
    <row r="13" spans="1:9">
      <c r="A13" s="65" t="s">
        <v>19</v>
      </c>
      <c r="B13" s="62">
        <v>254</v>
      </c>
      <c r="G13" t="s">
        <v>56</v>
      </c>
    </row>
    <row r="14" spans="1:9">
      <c r="A14" s="65" t="s">
        <v>59</v>
      </c>
      <c r="B14" s="62">
        <v>15</v>
      </c>
    </row>
    <row r="15" spans="1:9">
      <c r="A15" s="65" t="s">
        <v>60</v>
      </c>
      <c r="B15" s="62">
        <v>70</v>
      </c>
    </row>
    <row r="16" spans="1:9">
      <c r="A16" s="65" t="s">
        <v>58</v>
      </c>
      <c r="B16" s="62">
        <v>27</v>
      </c>
    </row>
    <row r="17" spans="1:6">
      <c r="A17" s="65" t="s">
        <v>79</v>
      </c>
      <c r="B17" s="62">
        <v>366</v>
      </c>
    </row>
    <row r="18" spans="1:6">
      <c r="F18" t="e">
        <f>VLOOKUP(E18,A18:B22,2,FALSE)</f>
        <v>#N/A</v>
      </c>
    </row>
    <row r="19" spans="1:6">
      <c r="A19" s="64" t="s">
        <v>78</v>
      </c>
      <c r="B19" t="s">
        <v>68</v>
      </c>
    </row>
    <row r="20" spans="1:6">
      <c r="A20" s="65" t="s">
        <v>19</v>
      </c>
      <c r="B20" s="63">
        <v>721.43523809523811</v>
      </c>
    </row>
    <row r="21" spans="1:6">
      <c r="A21" s="65" t="s">
        <v>59</v>
      </c>
      <c r="B21" s="63">
        <v>10588.6587366694</v>
      </c>
    </row>
    <row r="22" spans="1:6">
      <c r="A22" s="65" t="s">
        <v>60</v>
      </c>
      <c r="B22" s="63">
        <v>17750</v>
      </c>
    </row>
    <row r="23" spans="1:6">
      <c r="A23" s="65" t="s">
        <v>58</v>
      </c>
      <c r="B23" s="63">
        <v>25792</v>
      </c>
    </row>
    <row r="24" spans="1:6">
      <c r="A24" s="65" t="s">
        <v>79</v>
      </c>
      <c r="B24" s="63">
        <v>54852.093974764641</v>
      </c>
    </row>
    <row r="26" spans="1:6">
      <c r="A26" s="64" t="s">
        <v>78</v>
      </c>
      <c r="B26" t="s">
        <v>70</v>
      </c>
    </row>
    <row r="27" spans="1:6">
      <c r="A27" s="65" t="s">
        <v>80</v>
      </c>
      <c r="B27" s="62">
        <v>562</v>
      </c>
    </row>
    <row r="28" spans="1:6">
      <c r="A28" s="65" t="s">
        <v>59</v>
      </c>
      <c r="B28" s="62">
        <v>90</v>
      </c>
    </row>
    <row r="29" spans="1:6">
      <c r="A29" s="65" t="s">
        <v>60</v>
      </c>
      <c r="B29" s="62">
        <v>189</v>
      </c>
    </row>
    <row r="30" spans="1:6">
      <c r="A30" s="65" t="s">
        <v>58</v>
      </c>
      <c r="B30" s="62">
        <v>151</v>
      </c>
    </row>
    <row r="31" spans="1:6">
      <c r="A31" s="65" t="s">
        <v>79</v>
      </c>
      <c r="B31" s="62">
        <v>992</v>
      </c>
    </row>
    <row r="33" spans="1:2">
      <c r="A33" s="64" t="s">
        <v>78</v>
      </c>
      <c r="B33" t="s">
        <v>69</v>
      </c>
    </row>
    <row r="34" spans="1:2">
      <c r="A34" s="65" t="s">
        <v>80</v>
      </c>
      <c r="B34" s="63">
        <v>1593.9500000000003</v>
      </c>
    </row>
    <row r="35" spans="1:2">
      <c r="A35" s="65" t="s">
        <v>59</v>
      </c>
      <c r="B35" s="63">
        <v>53925</v>
      </c>
    </row>
    <row r="36" spans="1:2">
      <c r="A36" s="65" t="s">
        <v>60</v>
      </c>
      <c r="B36" s="63">
        <v>68550</v>
      </c>
    </row>
    <row r="37" spans="1:2">
      <c r="A37" s="65" t="s">
        <v>58</v>
      </c>
      <c r="B37" s="63">
        <v>167360</v>
      </c>
    </row>
    <row r="38" spans="1:2">
      <c r="A38" s="65" t="s">
        <v>79</v>
      </c>
      <c r="B38" s="63">
        <v>291428.95000000007</v>
      </c>
    </row>
    <row r="40" spans="1:2">
      <c r="A40" s="64" t="s">
        <v>78</v>
      </c>
      <c r="B40" t="s">
        <v>70</v>
      </c>
    </row>
    <row r="41" spans="1:2">
      <c r="A41" s="65" t="s">
        <v>80</v>
      </c>
      <c r="B41" s="62">
        <v>338</v>
      </c>
    </row>
    <row r="42" spans="1:2">
      <c r="A42" s="65" t="s">
        <v>59</v>
      </c>
      <c r="B42" s="62">
        <v>84</v>
      </c>
    </row>
    <row r="43" spans="1:2">
      <c r="A43" s="65" t="s">
        <v>60</v>
      </c>
      <c r="B43" s="62">
        <v>133</v>
      </c>
    </row>
    <row r="44" spans="1:2">
      <c r="A44" s="65" t="s">
        <v>58</v>
      </c>
      <c r="B44" s="62">
        <v>147</v>
      </c>
    </row>
    <row r="45" spans="1:2">
      <c r="A45" s="65" t="s">
        <v>79</v>
      </c>
      <c r="B45" s="62">
        <v>702</v>
      </c>
    </row>
    <row r="47" spans="1:2">
      <c r="A47" s="64" t="s">
        <v>78</v>
      </c>
      <c r="B47" t="s">
        <v>69</v>
      </c>
    </row>
    <row r="48" spans="1:2">
      <c r="A48" s="65" t="s">
        <v>80</v>
      </c>
      <c r="B48" s="63">
        <v>1141</v>
      </c>
    </row>
    <row r="49" spans="1:7">
      <c r="A49" s="65" t="s">
        <v>59</v>
      </c>
      <c r="B49" s="63">
        <v>57320</v>
      </c>
    </row>
    <row r="50" spans="1:7">
      <c r="A50" s="65" t="s">
        <v>60</v>
      </c>
      <c r="B50" s="63">
        <v>67960</v>
      </c>
    </row>
    <row r="51" spans="1:7">
      <c r="A51" s="65" t="s">
        <v>58</v>
      </c>
      <c r="B51" s="63">
        <v>171510</v>
      </c>
    </row>
    <row r="52" spans="1:7">
      <c r="A52" s="65" t="s">
        <v>79</v>
      </c>
      <c r="B52" s="63">
        <v>297931</v>
      </c>
    </row>
    <row r="54" spans="1:7">
      <c r="A54" s="64" t="s">
        <v>78</v>
      </c>
      <c r="B54" t="s">
        <v>70</v>
      </c>
      <c r="G54" t="s">
        <v>81</v>
      </c>
    </row>
    <row r="55" spans="1:7">
      <c r="A55" s="65" t="s">
        <v>73</v>
      </c>
      <c r="B55" s="62">
        <v>137</v>
      </c>
      <c r="E55" s="66" t="s">
        <v>73</v>
      </c>
      <c r="F55">
        <f>VLOOKUP(E55,A55:B59,2,FALSE)</f>
        <v>137</v>
      </c>
      <c r="G55" t="str">
        <f>IF(F55=MAX(F$55:F$59),F55,"")</f>
        <v/>
      </c>
    </row>
    <row r="56" spans="1:7">
      <c r="A56" s="65" t="s">
        <v>74</v>
      </c>
      <c r="B56" s="62">
        <v>184</v>
      </c>
      <c r="E56" s="66" t="s">
        <v>74</v>
      </c>
      <c r="F56">
        <f t="shared" ref="F56:F59" si="0">VLOOKUP(E56,A56:B60,2,FALSE)</f>
        <v>184</v>
      </c>
      <c r="G56" t="str">
        <f t="shared" ref="G56:G59" si="1">IF(F56=MAX(F$55:F$59),F56,"")</f>
        <v/>
      </c>
    </row>
    <row r="57" spans="1:7">
      <c r="A57" s="65" t="s">
        <v>75</v>
      </c>
      <c r="B57" s="62">
        <v>142</v>
      </c>
      <c r="E57" s="66" t="s">
        <v>75</v>
      </c>
      <c r="F57">
        <f t="shared" si="0"/>
        <v>142</v>
      </c>
      <c r="G57" t="str">
        <f t="shared" si="1"/>
        <v/>
      </c>
    </row>
    <row r="58" spans="1:7">
      <c r="A58" s="65" t="s">
        <v>76</v>
      </c>
      <c r="B58" s="62">
        <v>106</v>
      </c>
      <c r="E58" s="66" t="s">
        <v>76</v>
      </c>
      <c r="F58">
        <f t="shared" si="0"/>
        <v>106</v>
      </c>
      <c r="G58" t="str">
        <f t="shared" si="1"/>
        <v/>
      </c>
    </row>
    <row r="59" spans="1:7">
      <c r="A59" s="65" t="s">
        <v>77</v>
      </c>
      <c r="B59" s="62">
        <v>423</v>
      </c>
      <c r="E59" s="66" t="s">
        <v>77</v>
      </c>
      <c r="F59">
        <f t="shared" si="0"/>
        <v>423</v>
      </c>
      <c r="G59">
        <f t="shared" si="1"/>
        <v>423</v>
      </c>
    </row>
    <row r="60" spans="1:7">
      <c r="A60" s="65" t="s">
        <v>79</v>
      </c>
      <c r="B60" s="62">
        <v>992</v>
      </c>
    </row>
    <row r="62" spans="1:7">
      <c r="A62" t="s">
        <v>70</v>
      </c>
    </row>
    <row r="63" spans="1:7">
      <c r="A63" s="62">
        <v>992</v>
      </c>
    </row>
    <row r="65" spans="1:7">
      <c r="E65" s="66" t="s">
        <v>75</v>
      </c>
      <c r="F65" t="e">
        <f t="shared" ref="F64:F67" si="2">VLOOKUP(E65,A65:B69,2,FALSE)</f>
        <v>#N/A</v>
      </c>
      <c r="G65" t="e">
        <f t="shared" ref="G64:G67" si="3">IF(F65=MAX(E65:F69),F65,"")</f>
        <v>#N/A</v>
      </c>
    </row>
    <row r="66" spans="1:7">
      <c r="E66" s="66" t="s">
        <v>76</v>
      </c>
      <c r="F66" t="e">
        <f t="shared" si="2"/>
        <v>#N/A</v>
      </c>
      <c r="G66" t="e">
        <f t="shared" si="3"/>
        <v>#N/A</v>
      </c>
    </row>
    <row r="67" spans="1:7">
      <c r="E67" s="66" t="s">
        <v>77</v>
      </c>
      <c r="F67" t="e">
        <f t="shared" si="2"/>
        <v>#N/A</v>
      </c>
      <c r="G67" t="e">
        <f t="shared" si="3"/>
        <v>#N/A</v>
      </c>
    </row>
    <row r="70" spans="1:7">
      <c r="A70" s="64" t="s">
        <v>78</v>
      </c>
      <c r="B70" t="s">
        <v>70</v>
      </c>
      <c r="G70" t="s">
        <v>81</v>
      </c>
    </row>
    <row r="71" spans="1:7">
      <c r="A71" s="65" t="s">
        <v>73</v>
      </c>
      <c r="B71" s="62">
        <v>71</v>
      </c>
      <c r="E71" s="66" t="s">
        <v>73</v>
      </c>
      <c r="F71">
        <f>VLOOKUP(E71,A71:B75,2,FALSE)</f>
        <v>71</v>
      </c>
      <c r="G71" t="str">
        <f>IF(F71=MAX(E$71:F$75),F71,"")</f>
        <v/>
      </c>
    </row>
    <row r="72" spans="1:7">
      <c r="A72" s="65" t="s">
        <v>74</v>
      </c>
      <c r="B72" s="62">
        <v>100</v>
      </c>
      <c r="E72" s="66" t="s">
        <v>74</v>
      </c>
      <c r="F72">
        <f t="shared" ref="F72:F75" si="4">VLOOKUP(E72,A72:B76,2,FALSE)</f>
        <v>100</v>
      </c>
      <c r="G72" t="str">
        <f t="shared" ref="G72:G75" si="5">IF(F72=MAX(E$71:F$75),F72,"")</f>
        <v/>
      </c>
    </row>
    <row r="73" spans="1:7">
      <c r="A73" s="65" t="s">
        <v>75</v>
      </c>
      <c r="B73" s="62">
        <v>187</v>
      </c>
      <c r="E73" s="66" t="s">
        <v>75</v>
      </c>
      <c r="F73">
        <f t="shared" si="4"/>
        <v>187</v>
      </c>
      <c r="G73" t="str">
        <f t="shared" si="5"/>
        <v/>
      </c>
    </row>
    <row r="74" spans="1:7">
      <c r="A74" s="65" t="s">
        <v>76</v>
      </c>
      <c r="B74" s="62">
        <v>253</v>
      </c>
      <c r="E74" s="66" t="s">
        <v>76</v>
      </c>
      <c r="F74">
        <f t="shared" si="4"/>
        <v>253</v>
      </c>
      <c r="G74">
        <f t="shared" si="5"/>
        <v>253</v>
      </c>
    </row>
    <row r="75" spans="1:7">
      <c r="A75" s="65" t="s">
        <v>77</v>
      </c>
      <c r="B75" s="62">
        <v>91</v>
      </c>
      <c r="E75" s="66" t="s">
        <v>77</v>
      </c>
      <c r="F75">
        <f t="shared" si="4"/>
        <v>91</v>
      </c>
      <c r="G75" t="str">
        <f t="shared" si="5"/>
        <v/>
      </c>
    </row>
    <row r="76" spans="1:7">
      <c r="A76" s="65" t="s">
        <v>79</v>
      </c>
      <c r="B76" s="62">
        <v>702</v>
      </c>
    </row>
    <row r="78" spans="1:7">
      <c r="A78" s="64" t="s">
        <v>78</v>
      </c>
      <c r="B78" t="s">
        <v>69</v>
      </c>
      <c r="C78" t="s">
        <v>82</v>
      </c>
    </row>
    <row r="79" spans="1:7">
      <c r="A79" s="65" t="s">
        <v>73</v>
      </c>
      <c r="B79" s="67">
        <v>51548</v>
      </c>
      <c r="C79" s="67">
        <v>51548</v>
      </c>
    </row>
    <row r="80" spans="1:7">
      <c r="A80" s="65" t="s">
        <v>74</v>
      </c>
      <c r="B80" s="67">
        <v>76664.399999999994</v>
      </c>
      <c r="C80" s="67">
        <v>76664.399999999994</v>
      </c>
    </row>
    <row r="81" spans="1:3">
      <c r="A81" s="65" t="s">
        <v>75</v>
      </c>
      <c r="B81" s="67">
        <v>38248</v>
      </c>
      <c r="C81" s="67">
        <v>38248</v>
      </c>
    </row>
    <row r="82" spans="1:3">
      <c r="A82" s="65" t="s">
        <v>76</v>
      </c>
      <c r="B82" s="67">
        <v>48081.15</v>
      </c>
      <c r="C82" s="67">
        <v>48081.15</v>
      </c>
    </row>
    <row r="83" spans="1:3">
      <c r="A83" s="65" t="s">
        <v>77</v>
      </c>
      <c r="B83" s="67">
        <v>76887.399999999994</v>
      </c>
      <c r="C83" s="67">
        <v>76887.399999999994</v>
      </c>
    </row>
    <row r="84" spans="1:3">
      <c r="A84" s="65" t="s">
        <v>79</v>
      </c>
      <c r="B84" s="67">
        <v>291428.95000000007</v>
      </c>
      <c r="C84" s="67">
        <v>291428.95000000007</v>
      </c>
    </row>
    <row r="87" spans="1:3">
      <c r="A87" s="64" t="s">
        <v>78</v>
      </c>
      <c r="B87" t="s">
        <v>69</v>
      </c>
      <c r="C87" t="s">
        <v>82</v>
      </c>
    </row>
    <row r="88" spans="1:3">
      <c r="A88" s="65" t="s">
        <v>73</v>
      </c>
      <c r="B88" s="67">
        <v>38385.299999999996</v>
      </c>
      <c r="C88" s="67">
        <v>38385.299999999996</v>
      </c>
    </row>
    <row r="89" spans="1:3">
      <c r="A89" s="65" t="s">
        <v>74</v>
      </c>
      <c r="B89" s="67">
        <v>60319.5</v>
      </c>
      <c r="C89" s="67">
        <v>60319.5</v>
      </c>
    </row>
    <row r="90" spans="1:3">
      <c r="A90" s="65" t="s">
        <v>75</v>
      </c>
      <c r="B90" s="67">
        <v>69065</v>
      </c>
      <c r="C90" s="67">
        <v>69065</v>
      </c>
    </row>
    <row r="91" spans="1:3">
      <c r="A91" s="65" t="s">
        <v>76</v>
      </c>
      <c r="B91" s="67">
        <v>74985</v>
      </c>
      <c r="C91" s="67">
        <v>74985</v>
      </c>
    </row>
    <row r="92" spans="1:3">
      <c r="A92" s="65" t="s">
        <v>77</v>
      </c>
      <c r="B92" s="67">
        <v>55176.2</v>
      </c>
      <c r="C92" s="67">
        <v>55176.2</v>
      </c>
    </row>
    <row r="93" spans="1:3">
      <c r="A93" s="65" t="s">
        <v>79</v>
      </c>
      <c r="B93" s="67">
        <v>297931</v>
      </c>
      <c r="C93" s="67">
        <v>297931</v>
      </c>
    </row>
    <row r="95" spans="1:3">
      <c r="A95" s="64" t="s">
        <v>78</v>
      </c>
      <c r="B95" t="s">
        <v>69</v>
      </c>
    </row>
    <row r="96" spans="1:3">
      <c r="A96" s="65" t="s">
        <v>61</v>
      </c>
      <c r="B96" s="68">
        <v>35400</v>
      </c>
    </row>
    <row r="97" spans="1:7">
      <c r="A97" s="65" t="s">
        <v>51</v>
      </c>
      <c r="B97" s="68">
        <v>42010</v>
      </c>
    </row>
    <row r="98" spans="1:7">
      <c r="A98" s="65" t="s">
        <v>66</v>
      </c>
      <c r="B98" s="68">
        <v>129500</v>
      </c>
    </row>
    <row r="99" spans="1:7">
      <c r="A99" s="65" t="s">
        <v>79</v>
      </c>
      <c r="B99" s="68">
        <v>206910</v>
      </c>
    </row>
    <row r="108" spans="1:7">
      <c r="A108" s="64" t="s">
        <v>16</v>
      </c>
      <c r="B108" t="s">
        <v>83</v>
      </c>
    </row>
    <row r="110" spans="1:7">
      <c r="A110" s="64" t="s">
        <v>78</v>
      </c>
      <c r="B110" t="s">
        <v>67</v>
      </c>
    </row>
    <row r="111" spans="1:7">
      <c r="A111" s="65" t="s">
        <v>61</v>
      </c>
      <c r="B111" s="62">
        <v>0</v>
      </c>
      <c r="D111" t="str" cm="1">
        <f t="array" ref="D111:D113">A111:A113</f>
        <v>Cuisinière CANDY</v>
      </c>
      <c r="F111">
        <f>VLOOKUP(D111,A$111:B$113,2,FALSE)</f>
        <v>0</v>
      </c>
      <c r="G111" t="str">
        <f>IF(F111=0,"Non disonible"," Stock faible")</f>
        <v>Non disonible</v>
      </c>
    </row>
    <row r="112" spans="1:7">
      <c r="A112" s="65" t="s">
        <v>50</v>
      </c>
      <c r="B112" s="62">
        <v>2</v>
      </c>
      <c r="D112" t="str">
        <v>NINTENDO SWITCH</v>
      </c>
      <c r="F112">
        <f t="shared" ref="F112:F113" si="6">VLOOKUP(D112,A$111:B$113,2,FALSE)</f>
        <v>2</v>
      </c>
      <c r="G112" t="str">
        <f t="shared" ref="G112:G113" si="7">IF(F112=0,"Non disonible"," Stock faible")</f>
        <v xml:space="preserve"> Stock faible</v>
      </c>
    </row>
    <row r="113" spans="1:7">
      <c r="A113" s="65" t="s">
        <v>64</v>
      </c>
      <c r="B113" s="62">
        <v>8</v>
      </c>
      <c r="D113" t="str">
        <v>Réfrigérateur WHIRLPOOL</v>
      </c>
      <c r="F113">
        <f t="shared" si="6"/>
        <v>8</v>
      </c>
      <c r="G113" t="str">
        <f t="shared" si="7"/>
        <v xml:space="preserve"> Stock faible</v>
      </c>
    </row>
    <row r="114" spans="1:7">
      <c r="A114" s="65" t="s">
        <v>79</v>
      </c>
      <c r="B114" s="62">
        <v>10</v>
      </c>
    </row>
  </sheetData>
  <dataConsolidate/>
  <phoneticPr fontId="14" type="noConversion"/>
  <pageMargins left="0.7" right="0.7" top="0.75" bottom="0.75" header="0.3" footer="0.3"/>
  <drawing r:id="rId17"/>
  <tableParts count="3">
    <tablePart r:id="rId18"/>
    <tablePart r:id="rId19"/>
    <tablePart r:id="rId2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C7FEE5F-1861-4451-9E56-77F9B5FF6C2D}">
  <ds:schemaRefs/>
</ds:datastoreItem>
</file>

<file path=customXml/itemProps3.xml><?xml version="1.0" encoding="utf-8"?>
<ds:datastoreItem xmlns:ds="http://schemas.openxmlformats.org/officeDocument/2006/customXml" ds:itemID="{1BB56BB1-6B1C-4076-B755-BFCE319DB899}">
  <ds:schemaRefs/>
</ds:datastoreItem>
</file>

<file path=customXml/itemProps4.xml><?xml version="1.0" encoding="utf-8"?>
<ds:datastoreItem xmlns:ds="http://schemas.openxmlformats.org/officeDocument/2006/customXml" ds:itemID="{2ABC483F-12C2-431B-9DD9-BC0131DC41FC}">
  <ds:schemaRefs/>
</ds:datastoreItem>
</file>

<file path=customXml/itemProps5.xml><?xml version="1.0" encoding="utf-8"?>
<ds:datastoreItem xmlns:ds="http://schemas.openxmlformats.org/officeDocument/2006/customXml" ds:itemID="{760C9911-23DC-44CB-B6A3-68E643F192F1}">
  <ds:schemaRefs/>
</ds:datastoreItem>
</file>

<file path=customXml/itemProps6.xml><?xml version="1.0" encoding="utf-8"?>
<ds:datastoreItem xmlns:ds="http://schemas.openxmlformats.org/officeDocument/2006/customXml" ds:itemID="{05F79C3B-E1B6-4F1F-8EBA-D68997592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</vt:lpstr>
      <vt:lpstr>Opérations</vt:lpstr>
      <vt:lpstr>Marchandises</vt:lpstr>
      <vt:lpstr>Entrées</vt:lpstr>
      <vt:lpstr>Sorties</vt:lpstr>
      <vt:lpstr>Inventaire 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dali nguessan</cp:lastModifiedBy>
  <dcterms:created xsi:type="dcterms:W3CDTF">2015-06-05T18:19:34Z</dcterms:created>
  <dcterms:modified xsi:type="dcterms:W3CDTF">2026-08-13T22:06:55Z</dcterms:modified>
</cp:coreProperties>
</file>